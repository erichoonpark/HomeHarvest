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opsca.sharepoint.com/sites/SpecialProgramCompliance/Shared Documents/Office of Special Programs/Vacation Rentals/Vacation Rental Housing Summary/Housing Summary Data/2026/April 2026/4.9.26/"/>
    </mc:Choice>
  </mc:AlternateContent>
  <xr:revisionPtr revIDLastSave="440" documentId="8_{979F6AC9-4115-405D-A46A-65B41666DE98}" xr6:coauthVersionLast="47" xr6:coauthVersionMax="47" xr10:uidLastSave="{BA1AE0B5-42EE-440C-A084-0FF8CCBBB627}"/>
  <workbookProtection workbookAlgorithmName="SHA-512" workbookHashValue="54BSgY23sy0aNd4QTW7DrV4dTMQAo5PufXO3Wb2qa9FkTn6swKnhpkqXm0r7d+8njzVoTgV2wdgcdzswa5sqiA==" workbookSaltValue="frc0ofmFVZKKTm5A+3pkMg==" workbookSpinCount="100000" lockStructure="1"/>
  <bookViews>
    <workbookView xWindow="-120" yWindow="-120" windowWidth="29040" windowHeight="16440" xr2:uid="{8DC58704-B768-404C-B131-AC2140623E92}"/>
  </bookViews>
  <sheets>
    <sheet name="Vacation Rental by Neighborhood" sheetId="1" r:id="rId1"/>
  </sheets>
  <definedNames>
    <definedName name="_xlnm._FilterDatabase" localSheetId="0" hidden="1">'Vacation Rental by Neighborhood'!$A$2:$A$69</definedName>
    <definedName name="_xlnm.Print_Titles" localSheetId="0">'Vacation Rental by Neighborhood'!$1:$2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5" i="1"/>
  <c r="N36" i="1"/>
  <c r="N37" i="1"/>
  <c r="N38" i="1"/>
  <c r="N40" i="1"/>
  <c r="N43" i="1"/>
  <c r="N44" i="1"/>
  <c r="N45" i="1"/>
  <c r="N47" i="1"/>
  <c r="N48" i="1"/>
  <c r="N49" i="1"/>
  <c r="N50" i="1"/>
  <c r="N51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5" i="1"/>
  <c r="M36" i="1"/>
  <c r="M37" i="1"/>
  <c r="M38" i="1"/>
  <c r="M40" i="1"/>
  <c r="M43" i="1"/>
  <c r="M44" i="1"/>
  <c r="M45" i="1"/>
  <c r="M47" i="1"/>
  <c r="M48" i="1"/>
  <c r="M49" i="1"/>
  <c r="M50" i="1"/>
  <c r="M51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3" i="1"/>
  <c r="K69" i="1"/>
  <c r="G32" i="1"/>
  <c r="M32" i="1" s="1"/>
  <c r="G33" i="1"/>
  <c r="M33" i="1" s="1"/>
  <c r="G34" i="1"/>
  <c r="M34" i="1" s="1"/>
  <c r="G39" i="1"/>
  <c r="M39" i="1" s="1"/>
  <c r="M41" i="1"/>
  <c r="G42" i="1"/>
  <c r="M42" i="1" s="1"/>
  <c r="G46" i="1"/>
  <c r="M46" i="1" s="1"/>
  <c r="G52" i="1"/>
  <c r="M52" i="1" s="1"/>
  <c r="F3" i="1"/>
  <c r="F69" i="1" s="1"/>
  <c r="E69" i="1"/>
  <c r="D69" i="1"/>
  <c r="C69" i="1"/>
  <c r="N34" i="1" l="1"/>
  <c r="N42" i="1"/>
  <c r="N41" i="1"/>
  <c r="N33" i="1"/>
  <c r="N39" i="1"/>
  <c r="N46" i="1"/>
  <c r="N32" i="1"/>
  <c r="N52" i="1"/>
  <c r="O69" i="1"/>
  <c r="H69" i="1" l="1"/>
  <c r="G69" i="1" l="1"/>
  <c r="B69" i="1" l="1"/>
  <c r="J69" i="1" l="1"/>
  <c r="L69" i="1"/>
  <c r="M69" i="1" s="1"/>
  <c r="I69" i="1"/>
  <c r="N69" i="1" l="1"/>
</calcChain>
</file>

<file path=xl/sharedStrings.xml><?xml version="1.0" encoding="utf-8"?>
<sst xmlns="http://schemas.openxmlformats.org/spreadsheetml/2006/main" count="85" uniqueCount="85">
  <si>
    <t>Residential Information</t>
  </si>
  <si>
    <t>Vacation Rental Information</t>
  </si>
  <si>
    <t>Neighborhood Percentages</t>
  </si>
  <si>
    <t>Organized Neighborhood</t>
  </si>
  <si>
    <t>Apts Units Count</t>
  </si>
  <si>
    <t>Condo Count</t>
  </si>
  <si>
    <t>Mobile Home Count</t>
  </si>
  <si>
    <t>Single Family Residence</t>
  </si>
  <si>
    <t>Total Residential Units3</t>
  </si>
  <si>
    <t>SFR-VR</t>
  </si>
  <si>
    <t>Condo - VR</t>
  </si>
  <si>
    <t>Co-Owned Housing Units</t>
  </si>
  <si>
    <t>Total Residential Units</t>
  </si>
  <si>
    <t>Current Neighborhood Percentage</t>
  </si>
  <si>
    <t>Projected Neighborhood Percentage</t>
  </si>
  <si>
    <t>Current Number on Wait List</t>
  </si>
  <si>
    <t>Andreas Hills</t>
  </si>
  <si>
    <t>Araby Commons</t>
  </si>
  <si>
    <t>Araby Cove</t>
  </si>
  <si>
    <t>Baristo</t>
  </si>
  <si>
    <t>Canyon Corridor</t>
  </si>
  <si>
    <t>Canyon Palms</t>
  </si>
  <si>
    <t>Deepwell Estates</t>
  </si>
  <si>
    <t>Demuth Park</t>
  </si>
  <si>
    <t>Desert Highland / Gateway</t>
  </si>
  <si>
    <t>Desert Park Estates</t>
  </si>
  <si>
    <t>El Dorado Palms</t>
  </si>
  <si>
    <t>El Mirador</t>
  </si>
  <si>
    <t>El Rancho Vista Estates</t>
  </si>
  <si>
    <t>Escena</t>
  </si>
  <si>
    <t>Four Seasons</t>
  </si>
  <si>
    <t>Gateway</t>
  </si>
  <si>
    <t>Gene Autry</t>
  </si>
  <si>
    <t>Historic Tennis Club</t>
  </si>
  <si>
    <t>Indian Canyons</t>
  </si>
  <si>
    <t>Lawrence Crossley</t>
  </si>
  <si>
    <t>Little Beverly Hills</t>
  </si>
  <si>
    <t>Little Tuscany</t>
  </si>
  <si>
    <t>Los Compadres</t>
  </si>
  <si>
    <t>Melody Ranch</t>
  </si>
  <si>
    <t>Midtown</t>
  </si>
  <si>
    <t>Mountain Gate</t>
  </si>
  <si>
    <t>Movie Colony East</t>
  </si>
  <si>
    <t>Oasis del Sol</t>
  </si>
  <si>
    <t>Old Las Palmas</t>
  </si>
  <si>
    <t>Palm Canyon</t>
  </si>
  <si>
    <t>Palm Springs Villas II</t>
  </si>
  <si>
    <t>Parkview South Belardo</t>
  </si>
  <si>
    <t>RA #1</t>
  </si>
  <si>
    <t>RA #10</t>
  </si>
  <si>
    <t>RA #11</t>
  </si>
  <si>
    <t>RA #12</t>
  </si>
  <si>
    <t>RA #13</t>
  </si>
  <si>
    <t>RA #14</t>
  </si>
  <si>
    <t>RA #2</t>
  </si>
  <si>
    <t>RA #3</t>
  </si>
  <si>
    <t>RA #4</t>
  </si>
  <si>
    <t>RA #5</t>
  </si>
  <si>
    <t>RA #6</t>
  </si>
  <si>
    <t>RA #7</t>
  </si>
  <si>
    <t>RA #8</t>
  </si>
  <si>
    <t>RA #9</t>
  </si>
  <si>
    <t>Racquet Club Estates</t>
  </si>
  <si>
    <t>Racquet Club West</t>
  </si>
  <si>
    <t>Ranch Club Estates</t>
  </si>
  <si>
    <t>Rimrock</t>
  </si>
  <si>
    <t>Rogers Ranch</t>
  </si>
  <si>
    <t>Sonora Sunrise</t>
  </si>
  <si>
    <t>Sunmor</t>
  </si>
  <si>
    <t>Sunrise Park</t>
  </si>
  <si>
    <t>Sunrise Rafael</t>
  </si>
  <si>
    <t>Tahquitz Creek Golf</t>
  </si>
  <si>
    <t>Tahquitz River Estates</t>
  </si>
  <si>
    <t>The Mesa</t>
  </si>
  <si>
    <t>The Movie Colony</t>
  </si>
  <si>
    <t>Twin Palms</t>
  </si>
  <si>
    <t>Upper West Side</t>
  </si>
  <si>
    <t>Vista Las Palmas</t>
  </si>
  <si>
    <t>Vista Norte</t>
  </si>
  <si>
    <t>Warm Sands</t>
  </si>
  <si>
    <t>WestGatePS</t>
  </si>
  <si>
    <t>Whitewater Club</t>
  </si>
  <si>
    <t>Total</t>
  </si>
  <si>
    <t>Registered Vacation Rentals -4.9.26</t>
  </si>
  <si>
    <t>Applications Processing - 4.9.26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</si>
</sst>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6D6D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0" fontId="1" fillId="0" borderId="10" xfId="0" applyNumberFormat="1" applyFont="1" applyBorder="1" applyAlignment="1">
      <alignment horizontal="center"/>
    </xf>
    <xf numFmtId="10" fontId="1" fillId="0" borderId="11" xfId="0" applyNumberFormat="1" applyFont="1" applyBorder="1" applyAlignment="1">
      <alignment horizontal="center"/>
    </xf>
    <xf numFmtId="10" fontId="0" fillId="0" borderId="12" xfId="0" applyNumberFormat="1" applyBorder="1" applyAlignment="1">
      <alignment horizontal="center"/>
    </xf>
    <xf numFmtId="10" fontId="1" fillId="0" borderId="13" xfId="0" applyNumberFormat="1" applyFont="1" applyBorder="1" applyAlignment="1">
      <alignment horizontal="center"/>
    </xf>
    <xf numFmtId="10" fontId="0" fillId="0" borderId="15" xfId="0" applyNumberFormat="1" applyBorder="1" applyAlignment="1">
      <alignment horizontal="center"/>
    </xf>
    <xf numFmtId="10" fontId="1" fillId="0" borderId="1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10" fontId="0" fillId="0" borderId="9" xfId="0" applyNumberFormat="1" applyBorder="1" applyAlignment="1">
      <alignment horizontal="center"/>
    </xf>
    <xf numFmtId="10" fontId="1" fillId="0" borderId="19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0" fontId="0" fillId="3" borderId="12" xfId="0" applyNumberFormat="1" applyFill="1" applyBorder="1" applyAlignment="1">
      <alignment horizontal="center"/>
    </xf>
    <xf numFmtId="10" fontId="1" fillId="3" borderId="13" xfId="0" applyNumberFormat="1" applyFont="1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0" fontId="3" fillId="2" borderId="7" xfId="0" applyNumberFormat="1" applyFont="1" applyFill="1" applyBorder="1" applyAlignment="1">
      <alignment horizontal="center"/>
    </xf>
    <xf numFmtId="10" fontId="3" fillId="2" borderId="9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</cellXfs>
  <cellStyles count="1">
    <cellStyle name="Normal" xfId="0" builtinId="0"/>
  </cellStyles>
  <dxfs count="51"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6D6D"/>
      <color rgb="FFF397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D043F6-9B85-49F5-876E-E28F12AF382A}" name="Table2" displayName="Table2" ref="A2:O69" totalsRowCount="1" headerRowDxfId="50" dataDxfId="48" headerRowBorderDxfId="49" tableBorderDxfId="47" totalsRowBorderDxfId="46">
  <autoFilter ref="A2:O68" xr:uid="{40D043F6-9B85-49F5-876E-E28F12AF382A}"/>
  <sortState xmlns:xlrd2="http://schemas.microsoft.com/office/spreadsheetml/2017/richdata2" ref="A3:O68">
    <sortCondition ref="A3:A68"/>
  </sortState>
  <tableColumns count="15">
    <tableColumn id="1" xr3:uid="{0AC17F03-FF07-44BE-95E1-3B76F554834C}" name="Organized Neighborhood" totalsRowLabel="Total" dataDxfId="29" totalsRowDxfId="14"/>
    <tableColumn id="4" xr3:uid="{EB170674-C0E2-4C51-BD7F-9438014B3139}" name="Apts Units Count" totalsRowFunction="sum" dataDxfId="28" totalsRowDxfId="13"/>
    <tableColumn id="5" xr3:uid="{C3C0C2C9-1DE2-4A21-956F-8F0F60587FF1}" name="Condo Count" totalsRowFunction="sum" dataDxfId="27" totalsRowDxfId="12"/>
    <tableColumn id="6" xr3:uid="{2B3C4E6F-0521-434D-A98E-7F19782649FA}" name="Mobile Home Count" totalsRowFunction="sum" dataDxfId="26" totalsRowDxfId="11"/>
    <tableColumn id="2" xr3:uid="{1FEE2E11-294F-48B3-8FC9-FAE6C4C73D8D}" name="Single Family Residence" totalsRowFunction="sum" dataDxfId="25" totalsRowDxfId="10"/>
    <tableColumn id="3" xr3:uid="{C11BE65F-BC0C-4B27-88F2-044B8740A754}" name="Total Residential Units3" totalsRowFunction="sum" dataDxfId="24" totalsRowDxfId="9"/>
    <tableColumn id="15" xr3:uid="{A1BBC39C-A0B9-40F8-943F-68A6782795F8}" name="Registered Vacation Rentals -4.9.26" totalsRowFunction="sum" dataDxfId="23" totalsRowDxfId="8">
      <calculatedColumnFormula>SUM(Table2[[#This Row],[SFR-VR]:[Condo - VR]])</calculatedColumnFormula>
    </tableColumn>
    <tableColumn id="16" xr3:uid="{8B3F5DD7-70A0-4D07-AA3D-1634A712464A}" name="Applications Processing - 4.9.26" totalsRowFunction="sum" dataDxfId="22" totalsRowDxfId="7">
      <calculatedColumnFormula>SUM(#REF!+#REF!)</calculatedColumnFormula>
    </tableColumn>
    <tableColumn id="8" xr3:uid="{29116D9B-B86F-469A-A6DD-C18C38A6F1B6}" name="SFR-VR" totalsRowFunction="sum" dataDxfId="21" totalsRowDxfId="6"/>
    <tableColumn id="13" xr3:uid="{A3ECC69E-A46C-4EFA-9AC5-8F438AD727BE}" name="Condo - VR" totalsRowFunction="sum" dataDxfId="20" totalsRowDxfId="5"/>
    <tableColumn id="7" xr3:uid="{4FDEDCBB-1470-4402-8AFD-E7DDBF297318}" name="Co-Owned Housing Units" totalsRowFunction="sum" dataDxfId="19" totalsRowDxfId="4"/>
    <tableColumn id="9" xr3:uid="{2E4C75B2-3083-43F1-8724-65324011D1DB}" name="Total Residential Units" totalsRowFunction="sum" dataDxfId="18" totalsRowDxfId="3"/>
    <tableColumn id="11" xr3:uid="{05FCE0EE-154A-40B1-A3B8-2269B22EEC31}" name="Current Neighborhood Percentage" totalsRowFunction="custom" dataDxfId="17" totalsRowDxfId="2">
      <calculatedColumnFormula>SUM(G3+K3)/L3</calculatedColumnFormula>
      <totalsRowFormula>Table2[[#Totals],[Registered Vacation Rentals -4.9.26]]/Table2[[#Totals],[Total Residential Units]]</totalsRowFormula>
    </tableColumn>
    <tableColumn id="20" xr3:uid="{4CA484BA-5CEC-4154-977D-4EC2A8B1651E}" name="Projected Neighborhood Percentage" totalsRowFunction="custom" dataDxfId="16" totalsRowDxfId="1">
      <calculatedColumnFormula>SUM(G3+H3+K3)/L3</calculatedColumnFormula>
      <totalsRowFormula>(SUM(Table2[[#Totals],[Registered Vacation Rentals -4.9.26]]+Table2[[#Totals],[Applications Processing - 4.9.26]])/Table2[[#Totals],[Total Residential Units]])</totalsRowFormula>
    </tableColumn>
    <tableColumn id="21" xr3:uid="{8C0A137A-9797-4EAB-86F7-2596A6C4DBDE}" name="Current Number on Wait List" totalsRowFunction="sum" dataDxfId="15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98A1B-167A-414E-861C-453F8067F26E}">
  <sheetPr codeName="Sheet1">
    <pageSetUpPr fitToPage="1"/>
  </sheetPr>
  <dimension ref="A1:O69"/>
  <sheetViews>
    <sheetView tabSelected="1" zoomScale="80" zoomScaleNormal="80" workbookViewId="0">
      <selection activeCell="H23" sqref="H23"/>
    </sheetView>
  </sheetViews>
  <sheetFormatPr defaultColWidth="9.140625" defaultRowHeight="15" x14ac:dyDescent="0.25"/>
  <cols>
    <col min="1" max="1" width="25" style="3" bestFit="1" customWidth="1"/>
    <col min="2" max="2" width="16" style="1" hidden="1" customWidth="1"/>
    <col min="3" max="3" width="12.42578125" style="1" hidden="1" customWidth="1"/>
    <col min="4" max="4" width="19.140625" style="1" hidden="1" customWidth="1"/>
    <col min="5" max="6" width="21.42578125" style="1" hidden="1" customWidth="1"/>
    <col min="7" max="7" width="42" style="1" bestFit="1" customWidth="1"/>
    <col min="8" max="8" width="37.42578125" style="1" bestFit="1" customWidth="1"/>
    <col min="9" max="10" width="22.5703125" style="1" hidden="1" customWidth="1"/>
    <col min="11" max="11" width="29.42578125" style="1" customWidth="1"/>
    <col min="12" max="12" width="27.28515625" style="1" bestFit="1" customWidth="1"/>
    <col min="13" max="13" width="35" style="2" bestFit="1" customWidth="1"/>
    <col min="14" max="14" width="32.85546875" style="10" bestFit="1" customWidth="1"/>
    <col min="15" max="15" width="25.85546875" style="2" bestFit="1" customWidth="1"/>
    <col min="16" max="16" width="9.140625" style="1" customWidth="1"/>
    <col min="17" max="16384" width="9.140625" style="1"/>
  </cols>
  <sheetData>
    <row r="1" spans="1:15" x14ac:dyDescent="0.25">
      <c r="A1" s="23"/>
      <c r="B1" s="47" t="s">
        <v>0</v>
      </c>
      <c r="C1" s="47"/>
      <c r="D1" s="47"/>
      <c r="E1" s="47"/>
      <c r="F1" s="24"/>
      <c r="G1" s="43" t="s">
        <v>1</v>
      </c>
      <c r="H1" s="44"/>
      <c r="I1" s="24"/>
      <c r="J1" s="24"/>
      <c r="K1" s="24"/>
      <c r="L1" s="24"/>
      <c r="M1" s="45" t="s">
        <v>2</v>
      </c>
      <c r="N1" s="46"/>
      <c r="O1" s="25"/>
    </row>
    <row r="2" spans="1:15" s="3" customFormat="1" x14ac:dyDescent="0.25">
      <c r="A2" s="11" t="s">
        <v>3</v>
      </c>
      <c r="B2" s="7" t="s">
        <v>4</v>
      </c>
      <c r="C2" s="7" t="s">
        <v>5</v>
      </c>
      <c r="D2" s="7" t="s">
        <v>6</v>
      </c>
      <c r="E2" s="6" t="s">
        <v>7</v>
      </c>
      <c r="F2" s="6" t="s">
        <v>8</v>
      </c>
      <c r="G2" s="11" t="s">
        <v>83</v>
      </c>
      <c r="H2" s="12" t="s">
        <v>84</v>
      </c>
      <c r="I2" s="6" t="s">
        <v>9</v>
      </c>
      <c r="J2" s="7" t="s">
        <v>10</v>
      </c>
      <c r="K2" s="7" t="s">
        <v>11</v>
      </c>
      <c r="L2" s="7" t="s">
        <v>12</v>
      </c>
      <c r="M2" s="17" t="s">
        <v>13</v>
      </c>
      <c r="N2" s="18" t="s">
        <v>14</v>
      </c>
      <c r="O2" s="26" t="s">
        <v>15</v>
      </c>
    </row>
    <row r="3" spans="1:15" x14ac:dyDescent="0.25">
      <c r="A3" s="27" t="s">
        <v>16</v>
      </c>
      <c r="B3" s="4">
        <v>0</v>
      </c>
      <c r="C3" s="4">
        <v>120</v>
      </c>
      <c r="D3" s="4">
        <v>0</v>
      </c>
      <c r="E3" s="4">
        <v>392</v>
      </c>
      <c r="F3" s="4">
        <f>SUM(Table2[[#This Row],[Apts Units Count]:[Single Family Residence]])</f>
        <v>512</v>
      </c>
      <c r="G3" s="4">
        <v>20</v>
      </c>
      <c r="H3" s="13">
        <v>0</v>
      </c>
      <c r="I3" s="5">
        <v>20</v>
      </c>
      <c r="J3" s="4">
        <v>0</v>
      </c>
      <c r="K3" s="4">
        <v>0</v>
      </c>
      <c r="L3" s="4">
        <v>512</v>
      </c>
      <c r="M3" s="19">
        <f>SUM(G3+K3)/L3</f>
        <v>3.90625E-2</v>
      </c>
      <c r="N3" s="20">
        <f>SUM(G3+H3+K3)/L3</f>
        <v>3.90625E-2</v>
      </c>
      <c r="O3" s="28">
        <v>0</v>
      </c>
    </row>
    <row r="4" spans="1:15" x14ac:dyDescent="0.25">
      <c r="A4" s="27" t="s">
        <v>17</v>
      </c>
      <c r="B4" s="4">
        <v>10</v>
      </c>
      <c r="C4" s="4">
        <v>373</v>
      </c>
      <c r="D4" s="4">
        <v>0</v>
      </c>
      <c r="E4" s="4">
        <v>231</v>
      </c>
      <c r="F4" s="4">
        <v>614</v>
      </c>
      <c r="G4" s="4">
        <v>17</v>
      </c>
      <c r="H4" s="13">
        <v>0</v>
      </c>
      <c r="I4" s="5">
        <v>13</v>
      </c>
      <c r="J4" s="4">
        <v>8</v>
      </c>
      <c r="K4" s="4">
        <v>0</v>
      </c>
      <c r="L4" s="4">
        <v>614</v>
      </c>
      <c r="M4" s="19">
        <f t="shared" ref="M4:M67" si="0">SUM(G4+K4)/L4</f>
        <v>2.7687296416938109E-2</v>
      </c>
      <c r="N4" s="20">
        <f t="shared" ref="N4:N67" si="1">SUM(G4+H4+K4)/L4</f>
        <v>2.7687296416938109E-2</v>
      </c>
      <c r="O4" s="28">
        <v>0</v>
      </c>
    </row>
    <row r="5" spans="1:15" x14ac:dyDescent="0.25">
      <c r="A5" s="27" t="s">
        <v>18</v>
      </c>
      <c r="B5" s="4">
        <v>0</v>
      </c>
      <c r="C5" s="4">
        <v>0</v>
      </c>
      <c r="D5" s="4">
        <v>0</v>
      </c>
      <c r="E5" s="4">
        <v>77</v>
      </c>
      <c r="F5" s="4">
        <v>77</v>
      </c>
      <c r="G5" s="4">
        <v>9</v>
      </c>
      <c r="H5" s="13">
        <v>0</v>
      </c>
      <c r="I5" s="5">
        <v>7</v>
      </c>
      <c r="J5" s="4">
        <v>0</v>
      </c>
      <c r="K5" s="4">
        <v>0</v>
      </c>
      <c r="L5" s="4">
        <v>77</v>
      </c>
      <c r="M5" s="19">
        <f t="shared" si="0"/>
        <v>0.11688311688311688</v>
      </c>
      <c r="N5" s="20">
        <f t="shared" si="1"/>
        <v>0.11688311688311688</v>
      </c>
      <c r="O5" s="28">
        <v>0</v>
      </c>
    </row>
    <row r="6" spans="1:15" x14ac:dyDescent="0.25">
      <c r="A6" s="27" t="s">
        <v>19</v>
      </c>
      <c r="B6" s="4">
        <v>840</v>
      </c>
      <c r="C6" s="4">
        <v>1038</v>
      </c>
      <c r="D6" s="4">
        <v>0</v>
      </c>
      <c r="E6" s="4">
        <v>30</v>
      </c>
      <c r="F6" s="4">
        <v>1908</v>
      </c>
      <c r="G6" s="4">
        <v>31</v>
      </c>
      <c r="H6" s="13">
        <v>0</v>
      </c>
      <c r="I6" s="5">
        <v>0</v>
      </c>
      <c r="J6" s="4">
        <v>33</v>
      </c>
      <c r="K6" s="4">
        <v>0</v>
      </c>
      <c r="L6" s="4">
        <v>1908</v>
      </c>
      <c r="M6" s="19">
        <f t="shared" si="0"/>
        <v>1.6247379454926623E-2</v>
      </c>
      <c r="N6" s="20">
        <f t="shared" si="1"/>
        <v>1.6247379454926623E-2</v>
      </c>
      <c r="O6" s="28">
        <v>0</v>
      </c>
    </row>
    <row r="7" spans="1:15" x14ac:dyDescent="0.25">
      <c r="A7" s="27" t="s">
        <v>20</v>
      </c>
      <c r="B7" s="4">
        <v>20</v>
      </c>
      <c r="C7" s="4">
        <v>985</v>
      </c>
      <c r="D7" s="4">
        <v>0</v>
      </c>
      <c r="E7" s="4">
        <v>19</v>
      </c>
      <c r="F7" s="4">
        <v>1024</v>
      </c>
      <c r="G7" s="42">
        <v>10</v>
      </c>
      <c r="H7" s="13">
        <v>0</v>
      </c>
      <c r="I7" s="5">
        <v>2</v>
      </c>
      <c r="J7" s="4">
        <v>8</v>
      </c>
      <c r="K7" s="4">
        <v>0</v>
      </c>
      <c r="L7" s="4">
        <v>1024</v>
      </c>
      <c r="M7" s="19">
        <f t="shared" si="0"/>
        <v>9.765625E-3</v>
      </c>
      <c r="N7" s="20">
        <f t="shared" si="1"/>
        <v>9.765625E-3</v>
      </c>
      <c r="O7" s="28">
        <v>0</v>
      </c>
    </row>
    <row r="8" spans="1:15" x14ac:dyDescent="0.25">
      <c r="A8" s="27" t="s">
        <v>21</v>
      </c>
      <c r="B8" s="4">
        <v>0</v>
      </c>
      <c r="C8" s="4">
        <v>69</v>
      </c>
      <c r="D8" s="4">
        <v>0</v>
      </c>
      <c r="E8" s="4">
        <v>102</v>
      </c>
      <c r="F8" s="4">
        <v>171</v>
      </c>
      <c r="G8" s="4">
        <v>14</v>
      </c>
      <c r="H8" s="13">
        <v>0</v>
      </c>
      <c r="I8" s="5">
        <v>11</v>
      </c>
      <c r="J8" s="4">
        <v>0</v>
      </c>
      <c r="K8" s="4">
        <v>0</v>
      </c>
      <c r="L8" s="4">
        <v>171</v>
      </c>
      <c r="M8" s="19">
        <f t="shared" si="0"/>
        <v>8.1871345029239762E-2</v>
      </c>
      <c r="N8" s="20">
        <f t="shared" si="1"/>
        <v>8.1871345029239762E-2</v>
      </c>
      <c r="O8" s="28">
        <v>0</v>
      </c>
    </row>
    <row r="9" spans="1:15" x14ac:dyDescent="0.25">
      <c r="A9" s="27" t="s">
        <v>22</v>
      </c>
      <c r="B9" s="4">
        <v>92</v>
      </c>
      <c r="C9" s="4">
        <v>104</v>
      </c>
      <c r="D9" s="4">
        <v>0</v>
      </c>
      <c r="E9" s="4">
        <v>341</v>
      </c>
      <c r="F9" s="4">
        <v>537</v>
      </c>
      <c r="G9" s="4">
        <v>64</v>
      </c>
      <c r="H9" s="13">
        <v>0</v>
      </c>
      <c r="I9" s="5">
        <v>68</v>
      </c>
      <c r="J9" s="4">
        <v>0</v>
      </c>
      <c r="K9" s="4">
        <v>0</v>
      </c>
      <c r="L9" s="4">
        <v>537</v>
      </c>
      <c r="M9" s="19">
        <f t="shared" si="0"/>
        <v>0.11918063314711359</v>
      </c>
      <c r="N9" s="20">
        <f t="shared" si="1"/>
        <v>0.11918063314711359</v>
      </c>
      <c r="O9" s="28">
        <v>0</v>
      </c>
    </row>
    <row r="10" spans="1:15" x14ac:dyDescent="0.25">
      <c r="A10" s="27" t="s">
        <v>23</v>
      </c>
      <c r="B10" s="4">
        <v>367</v>
      </c>
      <c r="C10" s="4">
        <v>21</v>
      </c>
      <c r="D10" s="4">
        <v>0</v>
      </c>
      <c r="E10" s="4">
        <v>602</v>
      </c>
      <c r="F10" s="4">
        <v>990</v>
      </c>
      <c r="G10" s="4">
        <v>121</v>
      </c>
      <c r="H10" s="13">
        <v>0</v>
      </c>
      <c r="I10" s="5">
        <v>123</v>
      </c>
      <c r="J10" s="4">
        <v>0</v>
      </c>
      <c r="K10" s="4">
        <v>0</v>
      </c>
      <c r="L10" s="4">
        <v>990</v>
      </c>
      <c r="M10" s="19">
        <f t="shared" si="0"/>
        <v>0.12222222222222222</v>
      </c>
      <c r="N10" s="20">
        <f t="shared" si="1"/>
        <v>0.12222222222222222</v>
      </c>
      <c r="O10" s="28">
        <v>0</v>
      </c>
    </row>
    <row r="11" spans="1:15" x14ac:dyDescent="0.25">
      <c r="A11" s="27" t="s">
        <v>24</v>
      </c>
      <c r="B11" s="4">
        <v>216</v>
      </c>
      <c r="C11" s="4">
        <v>0</v>
      </c>
      <c r="D11" s="4">
        <v>0</v>
      </c>
      <c r="E11" s="4">
        <v>296</v>
      </c>
      <c r="F11" s="4">
        <v>512</v>
      </c>
      <c r="G11" s="4">
        <v>39</v>
      </c>
      <c r="H11" s="13">
        <v>1</v>
      </c>
      <c r="I11" s="5">
        <v>19</v>
      </c>
      <c r="J11" s="4">
        <v>0</v>
      </c>
      <c r="K11" s="4">
        <v>0</v>
      </c>
      <c r="L11" s="4">
        <v>512</v>
      </c>
      <c r="M11" s="19">
        <f t="shared" si="0"/>
        <v>7.6171875E-2</v>
      </c>
      <c r="N11" s="20">
        <f t="shared" si="1"/>
        <v>7.8125E-2</v>
      </c>
      <c r="O11" s="28">
        <v>0</v>
      </c>
    </row>
    <row r="12" spans="1:15" x14ac:dyDescent="0.25">
      <c r="A12" s="27" t="s">
        <v>25</v>
      </c>
      <c r="B12" s="4">
        <v>13</v>
      </c>
      <c r="C12" s="4">
        <v>0</v>
      </c>
      <c r="D12" s="4">
        <v>0</v>
      </c>
      <c r="E12" s="4">
        <v>452</v>
      </c>
      <c r="F12" s="4">
        <v>465</v>
      </c>
      <c r="G12" s="4">
        <v>97</v>
      </c>
      <c r="H12" s="13">
        <v>0</v>
      </c>
      <c r="I12" s="5">
        <v>123</v>
      </c>
      <c r="J12" s="4">
        <v>0</v>
      </c>
      <c r="K12" s="4">
        <v>0</v>
      </c>
      <c r="L12" s="4">
        <v>465</v>
      </c>
      <c r="M12" s="19">
        <f t="shared" si="0"/>
        <v>0.2086021505376344</v>
      </c>
      <c r="N12" s="20">
        <f t="shared" si="1"/>
        <v>0.2086021505376344</v>
      </c>
      <c r="O12" s="28">
        <v>20</v>
      </c>
    </row>
    <row r="13" spans="1:15" x14ac:dyDescent="0.25">
      <c r="A13" s="27" t="s">
        <v>26</v>
      </c>
      <c r="B13" s="4">
        <v>0</v>
      </c>
      <c r="C13" s="4">
        <v>0</v>
      </c>
      <c r="D13" s="4">
        <v>248</v>
      </c>
      <c r="E13" s="4">
        <v>0</v>
      </c>
      <c r="F13" s="4">
        <v>248</v>
      </c>
      <c r="G13" s="4">
        <v>0</v>
      </c>
      <c r="H13" s="13">
        <v>0</v>
      </c>
      <c r="I13" s="5">
        <v>0</v>
      </c>
      <c r="J13" s="4">
        <v>0</v>
      </c>
      <c r="K13" s="4">
        <v>0</v>
      </c>
      <c r="L13" s="4">
        <v>248</v>
      </c>
      <c r="M13" s="19">
        <f t="shared" si="0"/>
        <v>0</v>
      </c>
      <c r="N13" s="20">
        <f t="shared" si="1"/>
        <v>0</v>
      </c>
      <c r="O13" s="28">
        <v>0</v>
      </c>
    </row>
    <row r="14" spans="1:15" x14ac:dyDescent="0.25">
      <c r="A14" s="35" t="s">
        <v>27</v>
      </c>
      <c r="B14" s="36">
        <v>0</v>
      </c>
      <c r="C14" s="36">
        <v>0</v>
      </c>
      <c r="D14" s="36">
        <v>0</v>
      </c>
      <c r="E14" s="36">
        <v>157</v>
      </c>
      <c r="F14" s="36">
        <v>157</v>
      </c>
      <c r="G14" s="36">
        <v>30</v>
      </c>
      <c r="H14" s="37">
        <v>0</v>
      </c>
      <c r="I14" s="38">
        <v>38</v>
      </c>
      <c r="J14" s="36">
        <v>0</v>
      </c>
      <c r="K14" s="36">
        <v>0</v>
      </c>
      <c r="L14" s="36">
        <v>157</v>
      </c>
      <c r="M14" s="39">
        <f t="shared" si="0"/>
        <v>0.19108280254777071</v>
      </c>
      <c r="N14" s="40">
        <f t="shared" si="1"/>
        <v>0.19108280254777071</v>
      </c>
      <c r="O14" s="41">
        <v>11</v>
      </c>
    </row>
    <row r="15" spans="1:15" x14ac:dyDescent="0.25">
      <c r="A15" s="27" t="s">
        <v>28</v>
      </c>
      <c r="B15" s="4">
        <v>0</v>
      </c>
      <c r="C15" s="4">
        <v>0</v>
      </c>
      <c r="D15" s="4">
        <v>0</v>
      </c>
      <c r="E15" s="4">
        <v>112</v>
      </c>
      <c r="F15" s="4">
        <v>112</v>
      </c>
      <c r="G15" s="4">
        <v>27</v>
      </c>
      <c r="H15" s="13">
        <v>0</v>
      </c>
      <c r="I15" s="5">
        <v>37</v>
      </c>
      <c r="J15" s="4">
        <v>0</v>
      </c>
      <c r="K15" s="4">
        <v>0</v>
      </c>
      <c r="L15" s="4">
        <v>112</v>
      </c>
      <c r="M15" s="19">
        <f t="shared" si="0"/>
        <v>0.24107142857142858</v>
      </c>
      <c r="N15" s="20">
        <f t="shared" si="1"/>
        <v>0.24107142857142858</v>
      </c>
      <c r="O15" s="28">
        <v>6</v>
      </c>
    </row>
    <row r="16" spans="1:15" x14ac:dyDescent="0.25">
      <c r="A16" s="27" t="s">
        <v>29</v>
      </c>
      <c r="B16" s="4">
        <v>0</v>
      </c>
      <c r="C16" s="4">
        <v>0</v>
      </c>
      <c r="D16" s="4">
        <v>0</v>
      </c>
      <c r="E16" s="4">
        <v>487</v>
      </c>
      <c r="F16" s="4">
        <v>487</v>
      </c>
      <c r="G16" s="4">
        <v>0</v>
      </c>
      <c r="H16" s="13">
        <v>0</v>
      </c>
      <c r="I16" s="5">
        <v>0</v>
      </c>
      <c r="J16" s="4">
        <v>0</v>
      </c>
      <c r="K16" s="4">
        <v>0</v>
      </c>
      <c r="L16" s="4">
        <v>487</v>
      </c>
      <c r="M16" s="19">
        <f t="shared" si="0"/>
        <v>0</v>
      </c>
      <c r="N16" s="20">
        <f t="shared" si="1"/>
        <v>0</v>
      </c>
      <c r="O16" s="28">
        <v>0</v>
      </c>
    </row>
    <row r="17" spans="1:15" x14ac:dyDescent="0.25">
      <c r="A17" s="27" t="s">
        <v>30</v>
      </c>
      <c r="B17" s="4">
        <v>0</v>
      </c>
      <c r="C17" s="4">
        <v>0</v>
      </c>
      <c r="D17" s="4">
        <v>0</v>
      </c>
      <c r="E17" s="4">
        <v>476</v>
      </c>
      <c r="F17" s="4">
        <v>476</v>
      </c>
      <c r="G17" s="4">
        <v>0</v>
      </c>
      <c r="H17" s="13">
        <v>0</v>
      </c>
      <c r="I17" s="5">
        <v>0</v>
      </c>
      <c r="J17" s="4">
        <v>0</v>
      </c>
      <c r="K17" s="4">
        <v>0</v>
      </c>
      <c r="L17" s="4">
        <v>476</v>
      </c>
      <c r="M17" s="19">
        <f t="shared" si="0"/>
        <v>0</v>
      </c>
      <c r="N17" s="20">
        <f t="shared" si="1"/>
        <v>0</v>
      </c>
      <c r="O17" s="28">
        <v>0</v>
      </c>
    </row>
    <row r="18" spans="1:15" x14ac:dyDescent="0.25">
      <c r="A18" s="27" t="s">
        <v>31</v>
      </c>
      <c r="B18" s="4">
        <v>536</v>
      </c>
      <c r="C18" s="4">
        <v>491</v>
      </c>
      <c r="D18" s="4">
        <v>0</v>
      </c>
      <c r="E18" s="4">
        <v>89</v>
      </c>
      <c r="F18" s="4">
        <v>1116</v>
      </c>
      <c r="G18" s="4">
        <v>3</v>
      </c>
      <c r="H18" s="13">
        <v>0</v>
      </c>
      <c r="I18" s="5">
        <v>3</v>
      </c>
      <c r="J18" s="4">
        <v>0</v>
      </c>
      <c r="K18" s="4">
        <v>0</v>
      </c>
      <c r="L18" s="4">
        <v>1116</v>
      </c>
      <c r="M18" s="19">
        <f t="shared" si="0"/>
        <v>2.6881720430107529E-3</v>
      </c>
      <c r="N18" s="20">
        <f t="shared" si="1"/>
        <v>2.6881720430107529E-3</v>
      </c>
      <c r="O18" s="28">
        <v>0</v>
      </c>
    </row>
    <row r="19" spans="1:15" x14ac:dyDescent="0.25">
      <c r="A19" s="35" t="s">
        <v>32</v>
      </c>
      <c r="B19" s="36">
        <v>0</v>
      </c>
      <c r="C19" s="36">
        <v>0</v>
      </c>
      <c r="D19" s="36">
        <v>0</v>
      </c>
      <c r="E19" s="36">
        <v>578</v>
      </c>
      <c r="F19" s="36">
        <v>578</v>
      </c>
      <c r="G19" s="36">
        <v>117</v>
      </c>
      <c r="H19" s="37">
        <v>0</v>
      </c>
      <c r="I19" s="38">
        <v>117</v>
      </c>
      <c r="J19" s="36">
        <v>0</v>
      </c>
      <c r="K19" s="36">
        <v>0</v>
      </c>
      <c r="L19" s="36">
        <v>580</v>
      </c>
      <c r="M19" s="39">
        <f t="shared" si="0"/>
        <v>0.20172413793103447</v>
      </c>
      <c r="N19" s="40">
        <f t="shared" si="1"/>
        <v>0.20172413793103447</v>
      </c>
      <c r="O19" s="41">
        <v>2</v>
      </c>
    </row>
    <row r="20" spans="1:15" x14ac:dyDescent="0.25">
      <c r="A20" s="27" t="s">
        <v>33</v>
      </c>
      <c r="B20" s="4">
        <v>77</v>
      </c>
      <c r="C20" s="4">
        <v>182</v>
      </c>
      <c r="D20" s="4">
        <v>0</v>
      </c>
      <c r="E20" s="4">
        <v>208</v>
      </c>
      <c r="F20" s="4">
        <v>467</v>
      </c>
      <c r="G20" s="4">
        <v>21</v>
      </c>
      <c r="H20" s="13">
        <v>0</v>
      </c>
      <c r="I20" s="5">
        <v>14</v>
      </c>
      <c r="J20" s="4">
        <v>3</v>
      </c>
      <c r="K20" s="4">
        <v>1</v>
      </c>
      <c r="L20" s="4">
        <v>467</v>
      </c>
      <c r="M20" s="19">
        <f t="shared" si="0"/>
        <v>4.7109207708779445E-2</v>
      </c>
      <c r="N20" s="20">
        <f t="shared" si="1"/>
        <v>4.7109207708779445E-2</v>
      </c>
      <c r="O20" s="28">
        <v>0</v>
      </c>
    </row>
    <row r="21" spans="1:15" x14ac:dyDescent="0.25">
      <c r="A21" s="27" t="s">
        <v>34</v>
      </c>
      <c r="B21" s="4">
        <v>64</v>
      </c>
      <c r="C21" s="4">
        <v>38</v>
      </c>
      <c r="D21" s="4">
        <v>0</v>
      </c>
      <c r="E21" s="4">
        <v>396</v>
      </c>
      <c r="F21" s="4">
        <v>498</v>
      </c>
      <c r="G21" s="4">
        <v>50</v>
      </c>
      <c r="H21" s="13">
        <v>1</v>
      </c>
      <c r="I21" s="5">
        <v>56</v>
      </c>
      <c r="J21" s="4">
        <v>1</v>
      </c>
      <c r="K21" s="4">
        <v>0</v>
      </c>
      <c r="L21" s="4">
        <v>498</v>
      </c>
      <c r="M21" s="19">
        <f t="shared" si="0"/>
        <v>0.10040160642570281</v>
      </c>
      <c r="N21" s="20">
        <f t="shared" si="1"/>
        <v>0.10240963855421686</v>
      </c>
      <c r="O21" s="28">
        <v>0</v>
      </c>
    </row>
    <row r="22" spans="1:15" x14ac:dyDescent="0.25">
      <c r="A22" s="27" t="s">
        <v>35</v>
      </c>
      <c r="B22" s="4">
        <v>0</v>
      </c>
      <c r="C22" s="4">
        <v>0</v>
      </c>
      <c r="D22" s="4">
        <v>0</v>
      </c>
      <c r="E22" s="4">
        <v>73</v>
      </c>
      <c r="F22" s="4">
        <v>73</v>
      </c>
      <c r="G22" s="4">
        <v>19</v>
      </c>
      <c r="H22" s="13">
        <v>0</v>
      </c>
      <c r="I22" s="5">
        <v>13</v>
      </c>
      <c r="J22" s="4">
        <v>0</v>
      </c>
      <c r="K22" s="4">
        <v>0</v>
      </c>
      <c r="L22" s="4">
        <v>114</v>
      </c>
      <c r="M22" s="19">
        <f t="shared" si="0"/>
        <v>0.16666666666666666</v>
      </c>
      <c r="N22" s="20">
        <f t="shared" si="1"/>
        <v>0.16666666666666666</v>
      </c>
      <c r="O22" s="28">
        <v>0</v>
      </c>
    </row>
    <row r="23" spans="1:15" x14ac:dyDescent="0.25">
      <c r="A23" s="27" t="s">
        <v>36</v>
      </c>
      <c r="B23" s="4">
        <v>39</v>
      </c>
      <c r="C23" s="4">
        <v>88</v>
      </c>
      <c r="D23" s="4">
        <v>0</v>
      </c>
      <c r="E23" s="4">
        <v>84</v>
      </c>
      <c r="F23" s="4">
        <v>211</v>
      </c>
      <c r="G23" s="4">
        <v>27</v>
      </c>
      <c r="H23" s="13">
        <v>0</v>
      </c>
      <c r="I23" s="5">
        <v>27</v>
      </c>
      <c r="J23" s="4">
        <v>3</v>
      </c>
      <c r="K23" s="4">
        <v>0</v>
      </c>
      <c r="L23" s="4">
        <v>211</v>
      </c>
      <c r="M23" s="19">
        <f t="shared" si="0"/>
        <v>0.12796208530805686</v>
      </c>
      <c r="N23" s="20">
        <f t="shared" si="1"/>
        <v>0.12796208530805686</v>
      </c>
      <c r="O23" s="28">
        <v>0</v>
      </c>
    </row>
    <row r="24" spans="1:15" x14ac:dyDescent="0.25">
      <c r="A24" s="27" t="s">
        <v>37</v>
      </c>
      <c r="B24" s="4">
        <v>89</v>
      </c>
      <c r="C24" s="4">
        <v>121</v>
      </c>
      <c r="D24" s="4">
        <v>0</v>
      </c>
      <c r="E24" s="4">
        <v>415</v>
      </c>
      <c r="F24" s="4">
        <v>625</v>
      </c>
      <c r="G24" s="4">
        <v>81</v>
      </c>
      <c r="H24" s="13">
        <v>0</v>
      </c>
      <c r="I24" s="5">
        <v>75</v>
      </c>
      <c r="J24" s="4">
        <v>3</v>
      </c>
      <c r="K24" s="4">
        <v>0</v>
      </c>
      <c r="L24" s="4">
        <v>625</v>
      </c>
      <c r="M24" s="19">
        <f t="shared" si="0"/>
        <v>0.12959999999999999</v>
      </c>
      <c r="N24" s="20">
        <f t="shared" si="1"/>
        <v>0.12959999999999999</v>
      </c>
      <c r="O24" s="28">
        <v>0</v>
      </c>
    </row>
    <row r="25" spans="1:15" x14ac:dyDescent="0.25">
      <c r="A25" s="27" t="s">
        <v>38</v>
      </c>
      <c r="B25" s="4">
        <v>472</v>
      </c>
      <c r="C25" s="4">
        <v>86</v>
      </c>
      <c r="D25" s="4">
        <v>0</v>
      </c>
      <c r="E25" s="4">
        <v>405</v>
      </c>
      <c r="F25" s="4">
        <v>963</v>
      </c>
      <c r="G25" s="4">
        <v>51</v>
      </c>
      <c r="H25" s="13">
        <v>0</v>
      </c>
      <c r="I25" s="5">
        <v>49</v>
      </c>
      <c r="J25" s="4">
        <v>0</v>
      </c>
      <c r="K25" s="4">
        <v>0</v>
      </c>
      <c r="L25" s="4">
        <v>963</v>
      </c>
      <c r="M25" s="19">
        <f t="shared" si="0"/>
        <v>5.2959501557632398E-2</v>
      </c>
      <c r="N25" s="20">
        <f t="shared" si="1"/>
        <v>5.2959501557632398E-2</v>
      </c>
      <c r="O25" s="28">
        <v>0</v>
      </c>
    </row>
    <row r="26" spans="1:15" x14ac:dyDescent="0.25">
      <c r="A26" s="27" t="s">
        <v>39</v>
      </c>
      <c r="B26" s="4">
        <v>0</v>
      </c>
      <c r="C26" s="4">
        <v>837</v>
      </c>
      <c r="D26" s="4">
        <v>0</v>
      </c>
      <c r="E26" s="4">
        <v>0</v>
      </c>
      <c r="F26" s="4">
        <v>837</v>
      </c>
      <c r="G26" s="42">
        <v>9</v>
      </c>
      <c r="H26" s="13">
        <v>0</v>
      </c>
      <c r="I26" s="5">
        <v>0</v>
      </c>
      <c r="J26" s="4">
        <v>11</v>
      </c>
      <c r="K26" s="4">
        <v>0</v>
      </c>
      <c r="L26" s="4">
        <v>837</v>
      </c>
      <c r="M26" s="19">
        <f t="shared" si="0"/>
        <v>1.0752688172043012E-2</v>
      </c>
      <c r="N26" s="20">
        <f t="shared" si="1"/>
        <v>1.0752688172043012E-2</v>
      </c>
      <c r="O26" s="28">
        <v>0</v>
      </c>
    </row>
    <row r="27" spans="1:15" x14ac:dyDescent="0.25">
      <c r="A27" s="27" t="s">
        <v>40</v>
      </c>
      <c r="B27" s="4">
        <v>0</v>
      </c>
      <c r="C27" s="4">
        <v>973</v>
      </c>
      <c r="D27" s="4">
        <v>0</v>
      </c>
      <c r="E27" s="4">
        <v>101</v>
      </c>
      <c r="F27" s="4">
        <v>1074</v>
      </c>
      <c r="G27" s="4">
        <v>55</v>
      </c>
      <c r="H27" s="13">
        <v>0</v>
      </c>
      <c r="I27" s="5">
        <v>0</v>
      </c>
      <c r="J27" s="4">
        <v>59</v>
      </c>
      <c r="K27" s="4">
        <v>0</v>
      </c>
      <c r="L27" s="4">
        <v>1074</v>
      </c>
      <c r="M27" s="19">
        <f t="shared" si="0"/>
        <v>5.1210428305400374E-2</v>
      </c>
      <c r="N27" s="20">
        <f t="shared" si="1"/>
        <v>5.1210428305400374E-2</v>
      </c>
      <c r="O27" s="28">
        <v>0</v>
      </c>
    </row>
    <row r="28" spans="1:15" x14ac:dyDescent="0.25">
      <c r="A28" s="27" t="s">
        <v>41</v>
      </c>
      <c r="B28" s="4">
        <v>0</v>
      </c>
      <c r="C28" s="4">
        <v>0</v>
      </c>
      <c r="D28" s="4">
        <v>0</v>
      </c>
      <c r="E28" s="4">
        <v>478</v>
      </c>
      <c r="F28" s="4">
        <v>478</v>
      </c>
      <c r="G28" s="4">
        <v>0</v>
      </c>
      <c r="H28" s="13">
        <v>0</v>
      </c>
      <c r="I28" s="5">
        <v>0</v>
      </c>
      <c r="J28" s="4">
        <v>0</v>
      </c>
      <c r="K28" s="4">
        <v>0</v>
      </c>
      <c r="L28" s="4">
        <v>478</v>
      </c>
      <c r="M28" s="19">
        <f t="shared" si="0"/>
        <v>0</v>
      </c>
      <c r="N28" s="20">
        <f t="shared" si="1"/>
        <v>0</v>
      </c>
      <c r="O28" s="28">
        <v>0</v>
      </c>
    </row>
    <row r="29" spans="1:15" x14ac:dyDescent="0.25">
      <c r="A29" s="35" t="s">
        <v>42</v>
      </c>
      <c r="B29" s="36">
        <v>4</v>
      </c>
      <c r="C29" s="36">
        <v>0</v>
      </c>
      <c r="D29" s="36">
        <v>0</v>
      </c>
      <c r="E29" s="36">
        <v>739</v>
      </c>
      <c r="F29" s="36">
        <v>743</v>
      </c>
      <c r="G29" s="36">
        <v>148</v>
      </c>
      <c r="H29" s="37">
        <v>0</v>
      </c>
      <c r="I29" s="38">
        <v>173</v>
      </c>
      <c r="J29" s="36">
        <v>0</v>
      </c>
      <c r="K29" s="36">
        <v>0</v>
      </c>
      <c r="L29" s="36">
        <v>743</v>
      </c>
      <c r="M29" s="39">
        <f t="shared" si="0"/>
        <v>0.19919246298788695</v>
      </c>
      <c r="N29" s="40">
        <f t="shared" si="1"/>
        <v>0.19919246298788695</v>
      </c>
      <c r="O29" s="41">
        <v>20</v>
      </c>
    </row>
    <row r="30" spans="1:15" x14ac:dyDescent="0.25">
      <c r="A30" s="27" t="s">
        <v>43</v>
      </c>
      <c r="B30" s="4">
        <v>0</v>
      </c>
      <c r="C30" s="4">
        <v>290</v>
      </c>
      <c r="D30" s="4">
        <v>0</v>
      </c>
      <c r="E30" s="4">
        <v>305</v>
      </c>
      <c r="F30" s="4">
        <v>595</v>
      </c>
      <c r="G30" s="4">
        <v>63</v>
      </c>
      <c r="H30" s="13">
        <v>0</v>
      </c>
      <c r="I30" s="5">
        <v>63</v>
      </c>
      <c r="J30" s="4">
        <v>0</v>
      </c>
      <c r="K30" s="4">
        <v>0</v>
      </c>
      <c r="L30" s="4">
        <v>595</v>
      </c>
      <c r="M30" s="19">
        <f t="shared" si="0"/>
        <v>0.10588235294117647</v>
      </c>
      <c r="N30" s="20">
        <f t="shared" si="1"/>
        <v>0.10588235294117647</v>
      </c>
      <c r="O30" s="28">
        <v>0</v>
      </c>
    </row>
    <row r="31" spans="1:15" x14ac:dyDescent="0.25">
      <c r="A31" s="27" t="s">
        <v>44</v>
      </c>
      <c r="B31" s="4">
        <v>88</v>
      </c>
      <c r="C31" s="4">
        <v>87</v>
      </c>
      <c r="D31" s="4">
        <v>0</v>
      </c>
      <c r="E31" s="4">
        <v>272</v>
      </c>
      <c r="F31" s="4">
        <v>447</v>
      </c>
      <c r="G31" s="4">
        <v>43</v>
      </c>
      <c r="H31" s="13">
        <v>0</v>
      </c>
      <c r="I31" s="5">
        <v>30</v>
      </c>
      <c r="J31" s="4">
        <v>10</v>
      </c>
      <c r="K31" s="4">
        <v>0</v>
      </c>
      <c r="L31" s="4">
        <v>447</v>
      </c>
      <c r="M31" s="19">
        <f t="shared" si="0"/>
        <v>9.6196868008948541E-2</v>
      </c>
      <c r="N31" s="20">
        <f t="shared" si="1"/>
        <v>9.6196868008948541E-2</v>
      </c>
      <c r="O31" s="28">
        <v>0</v>
      </c>
    </row>
    <row r="32" spans="1:15" x14ac:dyDescent="0.25">
      <c r="A32" s="27" t="s">
        <v>45</v>
      </c>
      <c r="B32" s="4">
        <v>0</v>
      </c>
      <c r="C32" s="4">
        <v>0</v>
      </c>
      <c r="D32" s="4">
        <v>229</v>
      </c>
      <c r="E32" s="4">
        <v>0</v>
      </c>
      <c r="F32" s="4">
        <v>229</v>
      </c>
      <c r="G32" s="4">
        <f>SUM(Table2[[#This Row],[SFR-VR]:[Condo - VR]])</f>
        <v>0</v>
      </c>
      <c r="H32" s="13">
        <v>0</v>
      </c>
      <c r="I32" s="5">
        <v>0</v>
      </c>
      <c r="J32" s="4">
        <v>0</v>
      </c>
      <c r="K32" s="4">
        <v>0</v>
      </c>
      <c r="L32" s="4">
        <v>229</v>
      </c>
      <c r="M32" s="19">
        <f t="shared" si="0"/>
        <v>0</v>
      </c>
      <c r="N32" s="20">
        <f t="shared" si="1"/>
        <v>0</v>
      </c>
      <c r="O32" s="28">
        <v>0</v>
      </c>
    </row>
    <row r="33" spans="1:15" x14ac:dyDescent="0.25">
      <c r="A33" s="27" t="s">
        <v>46</v>
      </c>
      <c r="B33" s="4">
        <v>0</v>
      </c>
      <c r="C33" s="4">
        <v>476</v>
      </c>
      <c r="D33" s="4">
        <v>0</v>
      </c>
      <c r="E33" s="4">
        <v>0</v>
      </c>
      <c r="F33" s="4">
        <v>476</v>
      </c>
      <c r="G33" s="4">
        <f>SUM(Table2[[#This Row],[SFR-VR]:[Condo - VR]])</f>
        <v>0</v>
      </c>
      <c r="H33" s="13">
        <v>0</v>
      </c>
      <c r="I33" s="5">
        <v>0</v>
      </c>
      <c r="J33" s="4">
        <v>0</v>
      </c>
      <c r="K33" s="4">
        <v>0</v>
      </c>
      <c r="L33" s="4">
        <v>476</v>
      </c>
      <c r="M33" s="19">
        <f t="shared" si="0"/>
        <v>0</v>
      </c>
      <c r="N33" s="20">
        <f t="shared" si="1"/>
        <v>0</v>
      </c>
      <c r="O33" s="28">
        <v>0</v>
      </c>
    </row>
    <row r="34" spans="1:15" x14ac:dyDescent="0.25">
      <c r="A34" s="27" t="s">
        <v>47</v>
      </c>
      <c r="B34" s="4">
        <v>0</v>
      </c>
      <c r="C34" s="4">
        <v>0</v>
      </c>
      <c r="D34" s="4">
        <v>172</v>
      </c>
      <c r="E34" s="4">
        <v>0</v>
      </c>
      <c r="F34" s="4">
        <v>172</v>
      </c>
      <c r="G34" s="4">
        <f>SUM(Table2[[#This Row],[SFR-VR]:[Condo - VR]])</f>
        <v>0</v>
      </c>
      <c r="H34" s="13">
        <v>0</v>
      </c>
      <c r="I34" s="5">
        <v>0</v>
      </c>
      <c r="J34" s="4">
        <v>0</v>
      </c>
      <c r="K34" s="4">
        <v>0</v>
      </c>
      <c r="L34" s="4">
        <v>172</v>
      </c>
      <c r="M34" s="19">
        <f t="shared" si="0"/>
        <v>0</v>
      </c>
      <c r="N34" s="20">
        <f t="shared" si="1"/>
        <v>0</v>
      </c>
      <c r="O34" s="28">
        <v>0</v>
      </c>
    </row>
    <row r="35" spans="1:15" x14ac:dyDescent="0.25">
      <c r="A35" s="33" t="s">
        <v>48</v>
      </c>
      <c r="B35" s="4">
        <v>499</v>
      </c>
      <c r="C35" s="4">
        <v>142</v>
      </c>
      <c r="D35" s="4">
        <v>0</v>
      </c>
      <c r="E35" s="4">
        <v>20</v>
      </c>
      <c r="F35" s="4">
        <v>661</v>
      </c>
      <c r="G35" s="4">
        <v>9</v>
      </c>
      <c r="H35" s="13">
        <v>0</v>
      </c>
      <c r="I35" s="5">
        <v>4</v>
      </c>
      <c r="J35" s="4">
        <v>6</v>
      </c>
      <c r="K35" s="4">
        <v>0</v>
      </c>
      <c r="L35" s="4">
        <v>661</v>
      </c>
      <c r="M35" s="19">
        <f t="shared" si="0"/>
        <v>1.3615733736762481E-2</v>
      </c>
      <c r="N35" s="20">
        <f t="shared" si="1"/>
        <v>1.3615733736762481E-2</v>
      </c>
      <c r="O35" s="28">
        <v>0</v>
      </c>
    </row>
    <row r="36" spans="1:15" x14ac:dyDescent="0.25">
      <c r="A36" s="33" t="s">
        <v>49</v>
      </c>
      <c r="B36" s="4">
        <v>0</v>
      </c>
      <c r="C36" s="4">
        <v>131</v>
      </c>
      <c r="D36" s="4">
        <v>0</v>
      </c>
      <c r="E36" s="4">
        <v>0</v>
      </c>
      <c r="F36" s="4">
        <v>131</v>
      </c>
      <c r="G36" s="4">
        <v>0</v>
      </c>
      <c r="H36" s="13">
        <v>0</v>
      </c>
      <c r="I36" s="5">
        <v>0</v>
      </c>
      <c r="J36" s="4">
        <v>10</v>
      </c>
      <c r="K36" s="4">
        <v>0</v>
      </c>
      <c r="L36" s="4">
        <v>48</v>
      </c>
      <c r="M36" s="19">
        <f t="shared" si="0"/>
        <v>0</v>
      </c>
      <c r="N36" s="20">
        <f t="shared" si="1"/>
        <v>0</v>
      </c>
      <c r="O36" s="28">
        <v>0</v>
      </c>
    </row>
    <row r="37" spans="1:15" x14ac:dyDescent="0.25">
      <c r="A37" s="33" t="s">
        <v>50</v>
      </c>
      <c r="B37" s="4">
        <v>0</v>
      </c>
      <c r="C37" s="4">
        <v>0</v>
      </c>
      <c r="D37" s="4">
        <v>200</v>
      </c>
      <c r="E37" s="4">
        <v>0</v>
      </c>
      <c r="F37" s="4">
        <v>200</v>
      </c>
      <c r="G37" s="4">
        <v>0</v>
      </c>
      <c r="H37" s="13">
        <v>0</v>
      </c>
      <c r="I37" s="5">
        <v>0</v>
      </c>
      <c r="J37" s="4">
        <v>0</v>
      </c>
      <c r="K37" s="4">
        <v>0</v>
      </c>
      <c r="L37" s="4">
        <v>200</v>
      </c>
      <c r="M37" s="19">
        <f t="shared" si="0"/>
        <v>0</v>
      </c>
      <c r="N37" s="20">
        <f t="shared" si="1"/>
        <v>0</v>
      </c>
      <c r="O37" s="28">
        <v>0</v>
      </c>
    </row>
    <row r="38" spans="1:15" x14ac:dyDescent="0.25">
      <c r="A38" s="33" t="s">
        <v>51</v>
      </c>
      <c r="B38" s="4">
        <v>0</v>
      </c>
      <c r="C38" s="4">
        <v>427</v>
      </c>
      <c r="D38" s="4">
        <v>0</v>
      </c>
      <c r="E38" s="4">
        <v>0</v>
      </c>
      <c r="F38" s="4">
        <v>427</v>
      </c>
      <c r="G38" s="4">
        <v>26</v>
      </c>
      <c r="H38" s="13">
        <v>0</v>
      </c>
      <c r="I38" s="5">
        <v>0</v>
      </c>
      <c r="J38" s="4">
        <v>22</v>
      </c>
      <c r="K38" s="4">
        <v>0</v>
      </c>
      <c r="L38" s="4">
        <v>427</v>
      </c>
      <c r="M38" s="19">
        <f t="shared" si="0"/>
        <v>6.0889929742388757E-2</v>
      </c>
      <c r="N38" s="20">
        <f t="shared" si="1"/>
        <v>6.0889929742388757E-2</v>
      </c>
      <c r="O38" s="28">
        <v>0</v>
      </c>
    </row>
    <row r="39" spans="1:15" x14ac:dyDescent="0.25">
      <c r="A39" s="33" t="s">
        <v>52</v>
      </c>
      <c r="B39" s="4">
        <v>0</v>
      </c>
      <c r="C39" s="4">
        <v>484</v>
      </c>
      <c r="D39" s="4">
        <v>0</v>
      </c>
      <c r="E39" s="4">
        <v>19</v>
      </c>
      <c r="F39" s="4">
        <v>503</v>
      </c>
      <c r="G39" s="4">
        <f>SUM(Table2[[#This Row],[SFR-VR]:[Condo - VR]])</f>
        <v>2</v>
      </c>
      <c r="H39" s="13">
        <v>0</v>
      </c>
      <c r="I39" s="5">
        <v>0</v>
      </c>
      <c r="J39" s="4">
        <v>2</v>
      </c>
      <c r="K39" s="4">
        <v>0</v>
      </c>
      <c r="L39" s="4">
        <v>503</v>
      </c>
      <c r="M39" s="19">
        <f t="shared" si="0"/>
        <v>3.9761431411530811E-3</v>
      </c>
      <c r="N39" s="20">
        <f t="shared" si="1"/>
        <v>3.9761431411530811E-3</v>
      </c>
      <c r="O39" s="28">
        <v>0</v>
      </c>
    </row>
    <row r="40" spans="1:15" x14ac:dyDescent="0.25">
      <c r="A40" s="27" t="s">
        <v>53</v>
      </c>
      <c r="B40" s="4">
        <v>109</v>
      </c>
      <c r="C40" s="4">
        <v>17</v>
      </c>
      <c r="D40" s="4">
        <v>0</v>
      </c>
      <c r="E40" s="4">
        <v>1</v>
      </c>
      <c r="F40" s="4">
        <v>127</v>
      </c>
      <c r="G40" s="4">
        <v>1</v>
      </c>
      <c r="H40" s="9">
        <v>0</v>
      </c>
      <c r="I40" s="4">
        <v>0</v>
      </c>
      <c r="J40" s="4">
        <v>2</v>
      </c>
      <c r="K40" s="4">
        <v>0</v>
      </c>
      <c r="L40" s="4">
        <v>127</v>
      </c>
      <c r="M40" s="19">
        <f t="shared" si="0"/>
        <v>7.874015748031496E-3</v>
      </c>
      <c r="N40" s="20">
        <f t="shared" si="1"/>
        <v>7.874015748031496E-3</v>
      </c>
      <c r="O40" s="34">
        <v>0</v>
      </c>
    </row>
    <row r="41" spans="1:15" x14ac:dyDescent="0.25">
      <c r="A41" s="33" t="s">
        <v>54</v>
      </c>
      <c r="B41" s="4">
        <v>112</v>
      </c>
      <c r="C41" s="4">
        <v>0</v>
      </c>
      <c r="D41" s="4">
        <v>0</v>
      </c>
      <c r="E41" s="4">
        <v>0</v>
      </c>
      <c r="F41" s="4">
        <v>112</v>
      </c>
      <c r="G41" s="4">
        <v>0</v>
      </c>
      <c r="H41" s="13">
        <v>0</v>
      </c>
      <c r="I41" s="5">
        <v>0</v>
      </c>
      <c r="J41" s="4">
        <v>0</v>
      </c>
      <c r="K41" s="4">
        <v>0</v>
      </c>
      <c r="L41" s="4">
        <v>112</v>
      </c>
      <c r="M41" s="19">
        <f t="shared" si="0"/>
        <v>0</v>
      </c>
      <c r="N41" s="20">
        <f t="shared" si="1"/>
        <v>0</v>
      </c>
      <c r="O41" s="28">
        <v>0</v>
      </c>
    </row>
    <row r="42" spans="1:15" x14ac:dyDescent="0.25">
      <c r="A42" s="33" t="s">
        <v>55</v>
      </c>
      <c r="B42" s="4">
        <v>104</v>
      </c>
      <c r="C42" s="4">
        <v>0</v>
      </c>
      <c r="D42" s="4">
        <v>0</v>
      </c>
      <c r="E42" s="4">
        <v>38</v>
      </c>
      <c r="F42" s="4">
        <v>142</v>
      </c>
      <c r="G42" s="4">
        <f>SUM(Table2[[#This Row],[SFR-VR]:[Condo - VR]])</f>
        <v>0</v>
      </c>
      <c r="H42" s="13">
        <v>0</v>
      </c>
      <c r="I42" s="5">
        <v>0</v>
      </c>
      <c r="J42" s="4">
        <v>0</v>
      </c>
      <c r="K42" s="4">
        <v>0</v>
      </c>
      <c r="L42" s="4">
        <v>142</v>
      </c>
      <c r="M42" s="19">
        <f t="shared" si="0"/>
        <v>0</v>
      </c>
      <c r="N42" s="20">
        <f t="shared" si="1"/>
        <v>0</v>
      </c>
      <c r="O42" s="28">
        <v>0</v>
      </c>
    </row>
    <row r="43" spans="1:15" x14ac:dyDescent="0.25">
      <c r="A43" s="33" t="s">
        <v>56</v>
      </c>
      <c r="B43" s="4">
        <v>51</v>
      </c>
      <c r="C43" s="4">
        <v>41</v>
      </c>
      <c r="D43" s="4">
        <v>0</v>
      </c>
      <c r="E43" s="4">
        <v>10</v>
      </c>
      <c r="F43" s="4">
        <v>102</v>
      </c>
      <c r="G43" s="4">
        <v>1</v>
      </c>
      <c r="H43" s="13">
        <v>0</v>
      </c>
      <c r="I43" s="5">
        <v>0</v>
      </c>
      <c r="J43" s="4">
        <v>0</v>
      </c>
      <c r="K43" s="4">
        <v>0</v>
      </c>
      <c r="L43" s="4">
        <v>102</v>
      </c>
      <c r="M43" s="19">
        <f t="shared" si="0"/>
        <v>9.8039215686274508E-3</v>
      </c>
      <c r="N43" s="20">
        <f t="shared" si="1"/>
        <v>9.8039215686274508E-3</v>
      </c>
      <c r="O43" s="28">
        <v>0</v>
      </c>
    </row>
    <row r="44" spans="1:15" x14ac:dyDescent="0.25">
      <c r="A44" s="33" t="s">
        <v>57</v>
      </c>
      <c r="B44" s="4">
        <v>0</v>
      </c>
      <c r="C44" s="4">
        <v>230</v>
      </c>
      <c r="D44" s="4">
        <v>0</v>
      </c>
      <c r="E44" s="4">
        <v>0</v>
      </c>
      <c r="F44" s="4">
        <v>230</v>
      </c>
      <c r="G44" s="4">
        <v>15</v>
      </c>
      <c r="H44" s="13">
        <v>0</v>
      </c>
      <c r="I44" s="5">
        <v>0</v>
      </c>
      <c r="J44" s="4">
        <v>9</v>
      </c>
      <c r="K44" s="4">
        <v>0</v>
      </c>
      <c r="L44" s="4">
        <v>230</v>
      </c>
      <c r="M44" s="19">
        <f t="shared" si="0"/>
        <v>6.5217391304347824E-2</v>
      </c>
      <c r="N44" s="20">
        <f t="shared" si="1"/>
        <v>6.5217391304347824E-2</v>
      </c>
      <c r="O44" s="28">
        <v>0</v>
      </c>
    </row>
    <row r="45" spans="1:15" x14ac:dyDescent="0.25">
      <c r="A45" s="33" t="s">
        <v>58</v>
      </c>
      <c r="B45" s="4">
        <v>7</v>
      </c>
      <c r="C45" s="4">
        <v>64</v>
      </c>
      <c r="D45" s="4">
        <v>258</v>
      </c>
      <c r="E45" s="4">
        <v>18</v>
      </c>
      <c r="F45" s="4">
        <v>347</v>
      </c>
      <c r="G45" s="4">
        <v>0</v>
      </c>
      <c r="H45" s="13">
        <v>0</v>
      </c>
      <c r="I45" s="5">
        <v>0</v>
      </c>
      <c r="J45" s="4">
        <v>0</v>
      </c>
      <c r="K45" s="4">
        <v>0</v>
      </c>
      <c r="L45" s="4">
        <v>347</v>
      </c>
      <c r="M45" s="19">
        <f t="shared" si="0"/>
        <v>0</v>
      </c>
      <c r="N45" s="20">
        <f t="shared" si="1"/>
        <v>0</v>
      </c>
      <c r="O45" s="28">
        <v>0</v>
      </c>
    </row>
    <row r="46" spans="1:15" x14ac:dyDescent="0.25">
      <c r="A46" s="33" t="s">
        <v>59</v>
      </c>
      <c r="B46" s="4">
        <v>0</v>
      </c>
      <c r="C46" s="4">
        <v>218</v>
      </c>
      <c r="D46" s="4">
        <v>0</v>
      </c>
      <c r="E46" s="4">
        <v>36</v>
      </c>
      <c r="F46" s="4">
        <v>254</v>
      </c>
      <c r="G46" s="4">
        <f>SUM(Table2[[#This Row],[SFR-VR]:[Condo - VR]])</f>
        <v>0</v>
      </c>
      <c r="H46" s="13">
        <v>0</v>
      </c>
      <c r="I46" s="5">
        <v>0</v>
      </c>
      <c r="J46" s="4">
        <v>0</v>
      </c>
      <c r="K46" s="4">
        <v>0</v>
      </c>
      <c r="L46" s="4">
        <v>254</v>
      </c>
      <c r="M46" s="19">
        <f t="shared" si="0"/>
        <v>0</v>
      </c>
      <c r="N46" s="20">
        <f t="shared" si="1"/>
        <v>0</v>
      </c>
      <c r="O46" s="28">
        <v>0</v>
      </c>
    </row>
    <row r="47" spans="1:15" x14ac:dyDescent="0.25">
      <c r="A47" s="33" t="s">
        <v>60</v>
      </c>
      <c r="B47" s="4">
        <v>0</v>
      </c>
      <c r="C47" s="4">
        <v>0</v>
      </c>
      <c r="D47" s="4">
        <v>0</v>
      </c>
      <c r="E47" s="4">
        <v>21</v>
      </c>
      <c r="F47" s="4">
        <v>21</v>
      </c>
      <c r="G47" s="4">
        <v>0</v>
      </c>
      <c r="H47" s="13">
        <v>0</v>
      </c>
      <c r="I47" s="5">
        <v>0</v>
      </c>
      <c r="J47" s="4">
        <v>0</v>
      </c>
      <c r="K47" s="4">
        <v>0</v>
      </c>
      <c r="L47" s="4">
        <v>21</v>
      </c>
      <c r="M47" s="19">
        <f t="shared" si="0"/>
        <v>0</v>
      </c>
      <c r="N47" s="20">
        <f t="shared" si="1"/>
        <v>0</v>
      </c>
      <c r="O47" s="28">
        <v>0</v>
      </c>
    </row>
    <row r="48" spans="1:15" x14ac:dyDescent="0.25">
      <c r="A48" s="33" t="s">
        <v>61</v>
      </c>
      <c r="B48" s="4">
        <v>72</v>
      </c>
      <c r="C48" s="4">
        <v>141</v>
      </c>
      <c r="D48" s="4">
        <v>0</v>
      </c>
      <c r="E48" s="4">
        <v>0</v>
      </c>
      <c r="F48" s="4">
        <v>213</v>
      </c>
      <c r="G48" s="4">
        <v>0</v>
      </c>
      <c r="H48" s="13">
        <v>0</v>
      </c>
      <c r="I48" s="5">
        <v>0</v>
      </c>
      <c r="J48" s="4">
        <v>0</v>
      </c>
      <c r="K48" s="4">
        <v>0</v>
      </c>
      <c r="L48" s="4">
        <v>213</v>
      </c>
      <c r="M48" s="19">
        <f t="shared" si="0"/>
        <v>0</v>
      </c>
      <c r="N48" s="20">
        <f t="shared" si="1"/>
        <v>0</v>
      </c>
      <c r="O48" s="28">
        <v>0</v>
      </c>
    </row>
    <row r="49" spans="1:15" x14ac:dyDescent="0.25">
      <c r="A49" s="27" t="s">
        <v>62</v>
      </c>
      <c r="B49" s="4">
        <v>0</v>
      </c>
      <c r="C49" s="4">
        <v>0</v>
      </c>
      <c r="D49" s="4">
        <v>0</v>
      </c>
      <c r="E49" s="4">
        <v>537</v>
      </c>
      <c r="F49" s="4">
        <v>537</v>
      </c>
      <c r="G49" s="4">
        <v>179</v>
      </c>
      <c r="H49" s="13">
        <v>0</v>
      </c>
      <c r="I49" s="5">
        <v>226</v>
      </c>
      <c r="J49" s="4">
        <v>0</v>
      </c>
      <c r="K49" s="4">
        <v>0</v>
      </c>
      <c r="L49" s="4">
        <v>537</v>
      </c>
      <c r="M49" s="19">
        <f t="shared" si="0"/>
        <v>0.33333333333333331</v>
      </c>
      <c r="N49" s="20">
        <f t="shared" si="1"/>
        <v>0.33333333333333331</v>
      </c>
      <c r="O49" s="28">
        <v>36</v>
      </c>
    </row>
    <row r="50" spans="1:15" x14ac:dyDescent="0.25">
      <c r="A50" s="27" t="s">
        <v>63</v>
      </c>
      <c r="B50" s="4">
        <v>73</v>
      </c>
      <c r="C50" s="4">
        <v>495</v>
      </c>
      <c r="D50" s="4">
        <v>0</v>
      </c>
      <c r="E50" s="4">
        <v>225</v>
      </c>
      <c r="F50" s="4">
        <v>793</v>
      </c>
      <c r="G50" s="4">
        <v>98</v>
      </c>
      <c r="H50" s="13">
        <v>1</v>
      </c>
      <c r="I50" s="5">
        <v>54</v>
      </c>
      <c r="J50" s="4">
        <v>39</v>
      </c>
      <c r="K50" s="4">
        <v>0</v>
      </c>
      <c r="L50" s="4">
        <v>793</v>
      </c>
      <c r="M50" s="19">
        <f t="shared" si="0"/>
        <v>0.1235813366960908</v>
      </c>
      <c r="N50" s="20">
        <f t="shared" si="1"/>
        <v>0.12484237074401008</v>
      </c>
      <c r="O50" s="28">
        <v>0</v>
      </c>
    </row>
    <row r="51" spans="1:15" x14ac:dyDescent="0.25">
      <c r="A51" s="27" t="s">
        <v>64</v>
      </c>
      <c r="B51" s="4">
        <v>84</v>
      </c>
      <c r="C51" s="4">
        <v>0</v>
      </c>
      <c r="D51" s="4">
        <v>0</v>
      </c>
      <c r="E51" s="4">
        <v>325</v>
      </c>
      <c r="F51" s="4">
        <v>409</v>
      </c>
      <c r="G51" s="4">
        <v>80</v>
      </c>
      <c r="H51" s="13">
        <v>0</v>
      </c>
      <c r="I51" s="5">
        <v>80</v>
      </c>
      <c r="J51" s="4">
        <v>0</v>
      </c>
      <c r="K51" s="4">
        <v>0</v>
      </c>
      <c r="L51" s="4">
        <v>409</v>
      </c>
      <c r="M51" s="19">
        <f t="shared" si="0"/>
        <v>0.19559902200488999</v>
      </c>
      <c r="N51" s="20">
        <f t="shared" si="1"/>
        <v>0.19559902200488999</v>
      </c>
      <c r="O51" s="28">
        <v>0</v>
      </c>
    </row>
    <row r="52" spans="1:15" x14ac:dyDescent="0.25">
      <c r="A52" s="27" t="s">
        <v>65</v>
      </c>
      <c r="B52" s="4">
        <v>60</v>
      </c>
      <c r="C52" s="4">
        <v>51</v>
      </c>
      <c r="D52" s="4">
        <v>364</v>
      </c>
      <c r="E52" s="4">
        <v>0</v>
      </c>
      <c r="F52" s="4">
        <v>475</v>
      </c>
      <c r="G52" s="4">
        <f>SUM(Table2[[#This Row],[SFR-VR]:[Condo - VR]])</f>
        <v>0</v>
      </c>
      <c r="H52" s="13">
        <v>0</v>
      </c>
      <c r="I52" s="5">
        <v>0</v>
      </c>
      <c r="J52" s="4">
        <v>0</v>
      </c>
      <c r="K52" s="4">
        <v>0</v>
      </c>
      <c r="L52" s="4">
        <v>475</v>
      </c>
      <c r="M52" s="19">
        <f t="shared" si="0"/>
        <v>0</v>
      </c>
      <c r="N52" s="20">
        <f t="shared" si="1"/>
        <v>0</v>
      </c>
      <c r="O52" s="28">
        <v>0</v>
      </c>
    </row>
    <row r="53" spans="1:15" x14ac:dyDescent="0.25">
      <c r="A53" s="27" t="s">
        <v>66</v>
      </c>
      <c r="B53" s="4">
        <v>80</v>
      </c>
      <c r="C53" s="4">
        <v>415</v>
      </c>
      <c r="D53" s="4">
        <v>0</v>
      </c>
      <c r="E53" s="4">
        <v>0</v>
      </c>
      <c r="F53" s="4">
        <v>495</v>
      </c>
      <c r="G53" s="4">
        <v>7</v>
      </c>
      <c r="H53" s="13">
        <v>0</v>
      </c>
      <c r="I53" s="5">
        <v>0</v>
      </c>
      <c r="J53" s="4">
        <v>10</v>
      </c>
      <c r="K53" s="4">
        <v>0</v>
      </c>
      <c r="L53" s="4">
        <v>495</v>
      </c>
      <c r="M53" s="19">
        <f t="shared" si="0"/>
        <v>1.4141414141414142E-2</v>
      </c>
      <c r="N53" s="20">
        <f t="shared" si="1"/>
        <v>1.4141414141414142E-2</v>
      </c>
      <c r="O53" s="28">
        <v>0</v>
      </c>
    </row>
    <row r="54" spans="1:15" x14ac:dyDescent="0.25">
      <c r="A54" s="27" t="s">
        <v>67</v>
      </c>
      <c r="B54" s="4">
        <v>12</v>
      </c>
      <c r="C54" s="4">
        <v>1569</v>
      </c>
      <c r="D54" s="4">
        <v>0</v>
      </c>
      <c r="E54" s="4">
        <v>86</v>
      </c>
      <c r="F54" s="4">
        <v>1667</v>
      </c>
      <c r="G54" s="4">
        <v>87</v>
      </c>
      <c r="H54" s="13">
        <v>1</v>
      </c>
      <c r="I54" s="5">
        <v>13</v>
      </c>
      <c r="J54" s="4">
        <v>81</v>
      </c>
      <c r="K54" s="4">
        <v>0</v>
      </c>
      <c r="L54" s="4">
        <v>1667</v>
      </c>
      <c r="M54" s="19">
        <f t="shared" si="0"/>
        <v>5.2189562087582485E-2</v>
      </c>
      <c r="N54" s="20">
        <f t="shared" si="1"/>
        <v>5.2789442111577684E-2</v>
      </c>
      <c r="O54" s="28">
        <v>0</v>
      </c>
    </row>
    <row r="55" spans="1:15" x14ac:dyDescent="0.25">
      <c r="A55" s="27" t="s">
        <v>68</v>
      </c>
      <c r="B55" s="4">
        <v>0</v>
      </c>
      <c r="C55" s="4">
        <v>0</v>
      </c>
      <c r="D55" s="4">
        <v>0</v>
      </c>
      <c r="E55" s="4">
        <v>140</v>
      </c>
      <c r="F55" s="4">
        <v>140</v>
      </c>
      <c r="G55" s="4">
        <v>36</v>
      </c>
      <c r="H55" s="13">
        <v>0</v>
      </c>
      <c r="I55" s="5">
        <v>41</v>
      </c>
      <c r="J55" s="4">
        <v>0</v>
      </c>
      <c r="K55" s="4">
        <v>0</v>
      </c>
      <c r="L55" s="4">
        <v>140</v>
      </c>
      <c r="M55" s="19">
        <f t="shared" si="0"/>
        <v>0.25714285714285712</v>
      </c>
      <c r="N55" s="20">
        <f t="shared" si="1"/>
        <v>0.25714285714285712</v>
      </c>
      <c r="O55" s="28">
        <v>11</v>
      </c>
    </row>
    <row r="56" spans="1:15" x14ac:dyDescent="0.25">
      <c r="A56" s="27" t="s">
        <v>69</v>
      </c>
      <c r="B56" s="4">
        <v>452</v>
      </c>
      <c r="C56" s="4">
        <v>189</v>
      </c>
      <c r="D56" s="4">
        <v>0</v>
      </c>
      <c r="E56" s="4">
        <v>485</v>
      </c>
      <c r="F56" s="4">
        <v>1126</v>
      </c>
      <c r="G56" s="4">
        <v>141</v>
      </c>
      <c r="H56" s="13">
        <v>0</v>
      </c>
      <c r="I56" s="5">
        <v>141</v>
      </c>
      <c r="J56" s="4">
        <v>5</v>
      </c>
      <c r="K56" s="4">
        <v>0</v>
      </c>
      <c r="L56" s="4">
        <v>1126</v>
      </c>
      <c r="M56" s="19">
        <f t="shared" si="0"/>
        <v>0.12522202486678508</v>
      </c>
      <c r="N56" s="20">
        <f t="shared" si="1"/>
        <v>0.12522202486678508</v>
      </c>
      <c r="O56" s="28">
        <v>0</v>
      </c>
    </row>
    <row r="57" spans="1:15" x14ac:dyDescent="0.25">
      <c r="A57" s="27" t="s">
        <v>70</v>
      </c>
      <c r="B57" s="4">
        <v>206</v>
      </c>
      <c r="C57" s="4">
        <v>360</v>
      </c>
      <c r="D57" s="4">
        <v>476</v>
      </c>
      <c r="E57" s="4">
        <v>51</v>
      </c>
      <c r="F57" s="4">
        <v>1093</v>
      </c>
      <c r="G57" s="4">
        <v>13</v>
      </c>
      <c r="H57" s="13">
        <v>0</v>
      </c>
      <c r="I57" s="5">
        <v>14</v>
      </c>
      <c r="J57" s="4">
        <v>0</v>
      </c>
      <c r="K57" s="4">
        <v>0</v>
      </c>
      <c r="L57" s="4">
        <v>1093</v>
      </c>
      <c r="M57" s="19">
        <f t="shared" si="0"/>
        <v>1.1893870082342177E-2</v>
      </c>
      <c r="N57" s="20">
        <f t="shared" si="1"/>
        <v>1.1893870082342177E-2</v>
      </c>
      <c r="O57" s="28">
        <v>0</v>
      </c>
    </row>
    <row r="58" spans="1:15" x14ac:dyDescent="0.25">
      <c r="A58" s="27" t="s">
        <v>71</v>
      </c>
      <c r="B58" s="4">
        <v>0</v>
      </c>
      <c r="C58" s="4">
        <v>885</v>
      </c>
      <c r="D58" s="4">
        <v>0</v>
      </c>
      <c r="E58" s="4">
        <v>242</v>
      </c>
      <c r="F58" s="4">
        <v>1127</v>
      </c>
      <c r="G58" s="4">
        <v>102</v>
      </c>
      <c r="H58" s="13">
        <v>1</v>
      </c>
      <c r="I58" s="5">
        <v>43</v>
      </c>
      <c r="J58" s="4">
        <v>41</v>
      </c>
      <c r="K58" s="4">
        <v>0</v>
      </c>
      <c r="L58" s="4">
        <v>1210</v>
      </c>
      <c r="M58" s="19">
        <f t="shared" si="0"/>
        <v>8.4297520661157019E-2</v>
      </c>
      <c r="N58" s="20">
        <f t="shared" si="1"/>
        <v>8.5123966942148757E-2</v>
      </c>
      <c r="O58" s="28">
        <v>0</v>
      </c>
    </row>
    <row r="59" spans="1:15" x14ac:dyDescent="0.25">
      <c r="A59" s="27" t="s">
        <v>72</v>
      </c>
      <c r="B59" s="4">
        <v>402</v>
      </c>
      <c r="C59" s="4">
        <v>101</v>
      </c>
      <c r="D59" s="4">
        <v>0</v>
      </c>
      <c r="E59" s="4">
        <v>495</v>
      </c>
      <c r="F59" s="4">
        <v>998</v>
      </c>
      <c r="G59" s="4">
        <v>146</v>
      </c>
      <c r="H59" s="13">
        <v>0</v>
      </c>
      <c r="I59" s="5">
        <v>132</v>
      </c>
      <c r="J59" s="4">
        <v>7</v>
      </c>
      <c r="K59" s="4">
        <v>1</v>
      </c>
      <c r="L59" s="4">
        <v>998</v>
      </c>
      <c r="M59" s="19">
        <f t="shared" si="0"/>
        <v>0.14729458917835672</v>
      </c>
      <c r="N59" s="20">
        <f t="shared" si="1"/>
        <v>0.14729458917835672</v>
      </c>
      <c r="O59" s="28">
        <v>0</v>
      </c>
    </row>
    <row r="60" spans="1:15" x14ac:dyDescent="0.25">
      <c r="A60" s="27" t="s">
        <v>73</v>
      </c>
      <c r="B60" s="4">
        <v>35</v>
      </c>
      <c r="C60" s="4">
        <v>0</v>
      </c>
      <c r="D60" s="4">
        <v>0</v>
      </c>
      <c r="E60" s="4">
        <v>223</v>
      </c>
      <c r="F60" s="4">
        <v>258</v>
      </c>
      <c r="G60" s="4">
        <v>42</v>
      </c>
      <c r="H60" s="13">
        <v>0</v>
      </c>
      <c r="I60" s="5">
        <v>41</v>
      </c>
      <c r="J60" s="4">
        <v>0</v>
      </c>
      <c r="K60" s="4">
        <v>2</v>
      </c>
      <c r="L60" s="4">
        <v>258</v>
      </c>
      <c r="M60" s="19">
        <f t="shared" si="0"/>
        <v>0.17054263565891473</v>
      </c>
      <c r="N60" s="20">
        <f t="shared" si="1"/>
        <v>0.17054263565891473</v>
      </c>
      <c r="O60" s="28">
        <v>0</v>
      </c>
    </row>
    <row r="61" spans="1:15" x14ac:dyDescent="0.25">
      <c r="A61" s="27" t="s">
        <v>74</v>
      </c>
      <c r="B61" s="4">
        <v>44</v>
      </c>
      <c r="C61" s="4">
        <v>6</v>
      </c>
      <c r="D61" s="4">
        <v>0</v>
      </c>
      <c r="E61" s="4">
        <v>176</v>
      </c>
      <c r="F61" s="4">
        <v>226</v>
      </c>
      <c r="G61" s="4">
        <v>33</v>
      </c>
      <c r="H61" s="13">
        <v>0</v>
      </c>
      <c r="I61" s="5">
        <v>37</v>
      </c>
      <c r="J61" s="4">
        <v>0</v>
      </c>
      <c r="K61" s="4">
        <v>0</v>
      </c>
      <c r="L61" s="4">
        <v>226</v>
      </c>
      <c r="M61" s="19">
        <f t="shared" si="0"/>
        <v>0.14601769911504425</v>
      </c>
      <c r="N61" s="20">
        <f t="shared" si="1"/>
        <v>0.14601769911504425</v>
      </c>
      <c r="O61" s="28">
        <v>0</v>
      </c>
    </row>
    <row r="62" spans="1:15" x14ac:dyDescent="0.25">
      <c r="A62" s="27" t="s">
        <v>75</v>
      </c>
      <c r="B62" s="4">
        <v>68</v>
      </c>
      <c r="C62" s="4">
        <v>375</v>
      </c>
      <c r="D62" s="4">
        <v>0</v>
      </c>
      <c r="E62" s="4">
        <v>185</v>
      </c>
      <c r="F62" s="4">
        <v>628</v>
      </c>
      <c r="G62" s="4">
        <v>100</v>
      </c>
      <c r="H62" s="13">
        <v>1</v>
      </c>
      <c r="I62" s="5">
        <v>48</v>
      </c>
      <c r="J62" s="4">
        <v>54</v>
      </c>
      <c r="K62" s="4">
        <v>0</v>
      </c>
      <c r="L62" s="4">
        <v>628</v>
      </c>
      <c r="M62" s="19">
        <f t="shared" si="0"/>
        <v>0.15923566878980891</v>
      </c>
      <c r="N62" s="20">
        <f t="shared" si="1"/>
        <v>0.160828025477707</v>
      </c>
      <c r="O62" s="28">
        <v>0</v>
      </c>
    </row>
    <row r="63" spans="1:15" x14ac:dyDescent="0.25">
      <c r="A63" s="27" t="s">
        <v>76</v>
      </c>
      <c r="B63" s="4">
        <v>144</v>
      </c>
      <c r="C63" s="4">
        <v>257</v>
      </c>
      <c r="D63" s="4">
        <v>0</v>
      </c>
      <c r="E63" s="4">
        <v>309</v>
      </c>
      <c r="F63" s="4">
        <v>710</v>
      </c>
      <c r="G63" s="4">
        <v>87</v>
      </c>
      <c r="H63" s="13">
        <v>0</v>
      </c>
      <c r="I63" s="5">
        <v>64</v>
      </c>
      <c r="J63" s="4">
        <v>11</v>
      </c>
      <c r="K63" s="4">
        <v>0</v>
      </c>
      <c r="L63" s="4">
        <v>710</v>
      </c>
      <c r="M63" s="19">
        <f t="shared" si="0"/>
        <v>0.12253521126760564</v>
      </c>
      <c r="N63" s="20">
        <f t="shared" si="1"/>
        <v>0.12253521126760564</v>
      </c>
      <c r="O63" s="28">
        <v>0</v>
      </c>
    </row>
    <row r="64" spans="1:15" x14ac:dyDescent="0.25">
      <c r="A64" s="27" t="s">
        <v>77</v>
      </c>
      <c r="B64" s="4">
        <v>12</v>
      </c>
      <c r="C64" s="4">
        <v>16</v>
      </c>
      <c r="D64" s="4">
        <v>0</v>
      </c>
      <c r="E64" s="4">
        <v>369</v>
      </c>
      <c r="F64" s="4">
        <v>397</v>
      </c>
      <c r="G64" s="4">
        <v>68</v>
      </c>
      <c r="H64" s="13">
        <v>1</v>
      </c>
      <c r="I64" s="5">
        <v>75</v>
      </c>
      <c r="J64" s="4">
        <v>0</v>
      </c>
      <c r="K64" s="4">
        <v>1</v>
      </c>
      <c r="L64" s="4">
        <v>397</v>
      </c>
      <c r="M64" s="19">
        <f t="shared" si="0"/>
        <v>0.17380352644836272</v>
      </c>
      <c r="N64" s="20">
        <f t="shared" si="1"/>
        <v>0.17632241813602015</v>
      </c>
      <c r="O64" s="28">
        <v>0</v>
      </c>
    </row>
    <row r="65" spans="1:15" x14ac:dyDescent="0.25">
      <c r="A65" s="27" t="s">
        <v>78</v>
      </c>
      <c r="B65" s="4">
        <v>224</v>
      </c>
      <c r="C65" s="4">
        <v>247</v>
      </c>
      <c r="D65" s="4">
        <v>0</v>
      </c>
      <c r="E65" s="4">
        <v>696</v>
      </c>
      <c r="F65" s="4">
        <v>1167</v>
      </c>
      <c r="G65" s="4">
        <v>164</v>
      </c>
      <c r="H65" s="13">
        <v>0</v>
      </c>
      <c r="I65" s="5">
        <v>168</v>
      </c>
      <c r="J65" s="4">
        <v>0</v>
      </c>
      <c r="K65" s="4">
        <v>0</v>
      </c>
      <c r="L65" s="4">
        <v>1167</v>
      </c>
      <c r="M65" s="19">
        <f t="shared" si="0"/>
        <v>0.1405312767780634</v>
      </c>
      <c r="N65" s="20">
        <f t="shared" si="1"/>
        <v>0.1405312767780634</v>
      </c>
      <c r="O65" s="28">
        <v>0</v>
      </c>
    </row>
    <row r="66" spans="1:15" x14ac:dyDescent="0.25">
      <c r="A66" s="27" t="s">
        <v>79</v>
      </c>
      <c r="B66" s="4">
        <v>446</v>
      </c>
      <c r="C66" s="4">
        <v>120</v>
      </c>
      <c r="D66" s="4">
        <v>245</v>
      </c>
      <c r="E66" s="4">
        <v>217</v>
      </c>
      <c r="F66" s="4">
        <v>1028</v>
      </c>
      <c r="G66" s="4">
        <v>49</v>
      </c>
      <c r="H66" s="13">
        <v>0</v>
      </c>
      <c r="I66" s="5">
        <v>39</v>
      </c>
      <c r="J66" s="4">
        <v>0</v>
      </c>
      <c r="K66" s="4">
        <v>0</v>
      </c>
      <c r="L66" s="4">
        <v>1028</v>
      </c>
      <c r="M66" s="19">
        <f t="shared" si="0"/>
        <v>4.7665369649805445E-2</v>
      </c>
      <c r="N66" s="20">
        <f t="shared" si="1"/>
        <v>4.7665369649805445E-2</v>
      </c>
      <c r="O66" s="28">
        <v>0</v>
      </c>
    </row>
    <row r="67" spans="1:15" x14ac:dyDescent="0.25">
      <c r="A67" s="29" t="s">
        <v>80</v>
      </c>
      <c r="B67" s="9">
        <v>0</v>
      </c>
      <c r="C67" s="9">
        <v>298</v>
      </c>
      <c r="D67" s="9">
        <v>0</v>
      </c>
      <c r="E67" s="9">
        <v>0</v>
      </c>
      <c r="F67" s="4">
        <v>298</v>
      </c>
      <c r="G67" s="4">
        <v>0</v>
      </c>
      <c r="H67" s="13">
        <v>0</v>
      </c>
      <c r="I67" s="8">
        <v>0</v>
      </c>
      <c r="J67" s="9">
        <v>0</v>
      </c>
      <c r="K67" s="9">
        <v>0</v>
      </c>
      <c r="L67" s="4">
        <v>298</v>
      </c>
      <c r="M67" s="19">
        <f t="shared" si="0"/>
        <v>0</v>
      </c>
      <c r="N67" s="20">
        <f t="shared" si="1"/>
        <v>0</v>
      </c>
      <c r="O67" s="28">
        <v>0</v>
      </c>
    </row>
    <row r="68" spans="1:15" x14ac:dyDescent="0.25">
      <c r="A68" s="27" t="s">
        <v>81</v>
      </c>
      <c r="B68" s="4">
        <v>0</v>
      </c>
      <c r="C68" s="4">
        <v>177</v>
      </c>
      <c r="D68" s="4">
        <v>0</v>
      </c>
      <c r="E68" s="4">
        <v>25</v>
      </c>
      <c r="F68" s="4">
        <v>202</v>
      </c>
      <c r="G68" s="4">
        <v>4</v>
      </c>
      <c r="H68" s="13">
        <v>1</v>
      </c>
      <c r="I68" s="5">
        <v>4</v>
      </c>
      <c r="J68" s="4">
        <v>2</v>
      </c>
      <c r="K68" s="4">
        <v>0</v>
      </c>
      <c r="L68" s="4">
        <v>202</v>
      </c>
      <c r="M68" s="19">
        <f t="shared" ref="M68" si="2">SUM(G68+K68)/L68</f>
        <v>1.9801980198019802E-2</v>
      </c>
      <c r="N68" s="20">
        <f t="shared" ref="N68" si="3">SUM(G68+H68+K68)/L68</f>
        <v>2.4752475247524754E-2</v>
      </c>
      <c r="O68" s="28">
        <v>0</v>
      </c>
    </row>
    <row r="69" spans="1:15" ht="15.75" thickBot="1" x14ac:dyDescent="0.3">
      <c r="A69" s="30" t="s">
        <v>82</v>
      </c>
      <c r="B69" s="15">
        <f>SUBTOTAL(109,Table2[Apts Units Count])</f>
        <v>6223</v>
      </c>
      <c r="C69" s="15">
        <f>SUBTOTAL(109,Table2[Condo Count])</f>
        <v>13835</v>
      </c>
      <c r="D69" s="15">
        <f>SUBTOTAL(109,Table2[Mobile Home Count])</f>
        <v>2192</v>
      </c>
      <c r="E69" s="15">
        <f>SUBTOTAL(109,Table2[Single Family Residence])</f>
        <v>12866</v>
      </c>
      <c r="F69" s="15">
        <f>SUBTOTAL(109,Table2[Total Residential Units3])</f>
        <v>35116</v>
      </c>
      <c r="G69" s="14">
        <f>SUBTOTAL(109,Table2[Registered Vacation Rentals -4.9.26])</f>
        <v>2656</v>
      </c>
      <c r="H69" s="16">
        <f>SUBTOTAL(109,Table2[Applications Processing - 4.9.26])</f>
        <v>8</v>
      </c>
      <c r="I69" s="31">
        <f>SUBTOTAL(109,Table2[SFR-VR])</f>
        <v>2305</v>
      </c>
      <c r="J69" s="15">
        <f>SUBTOTAL(109,Table2[Condo - VR])</f>
        <v>440</v>
      </c>
      <c r="K69" s="15">
        <f>SUBTOTAL(109,Table2[Co-Owned Housing Units])</f>
        <v>5</v>
      </c>
      <c r="L69" s="15">
        <f>SUBTOTAL(109,Table2[Total Residential Units])</f>
        <v>35159</v>
      </c>
      <c r="M69" s="21">
        <f>Table2[[#Totals],[Registered Vacation Rentals -4.9.26]]/Table2[[#Totals],[Total Residential Units]]</f>
        <v>7.5542535339457886E-2</v>
      </c>
      <c r="N69" s="22">
        <f>(SUM(Table2[[#Totals],[Registered Vacation Rentals -4.9.26]]+Table2[[#Totals],[Applications Processing - 4.9.26]])/Table2[[#Totals],[Total Residential Units]])</f>
        <v>7.5770073096504451E-2</v>
      </c>
      <c r="O69" s="32">
        <f>SUBTOTAL(109,Table2[Current Number on Wait List])</f>
        <v>106</v>
      </c>
    </row>
  </sheetData>
  <sheetProtection algorithmName="SHA-512" hashValue="rVEFw0HYkquYNCJPHzUL/z8oOzoBigBEw8UzFXdlLYU5DoG00DLMyst2+tFyC58OSwJKS+Aq6LXr3rtk8IeqZA==" saltValue="ldxGQeFTBLZFGefnYW58qQ==" spinCount="100000" sheet="1" objects="1" scenarios="1" selectLockedCells="1" selectUnlockedCells="1"/>
  <sortState xmlns:xlrd2="http://schemas.microsoft.com/office/spreadsheetml/2017/richdata2" ref="A3:M69">
    <sortCondition ref="A3:A69"/>
  </sortState>
  <mergeCells count="3">
    <mergeCell ref="G1:H1"/>
    <mergeCell ref="M1:N1"/>
    <mergeCell ref="B1:E1"/>
  </mergeCells>
  <phoneticPr fontId="2" type="noConversion"/>
  <conditionalFormatting sqref="A3:A34 B3:E68 G3:K68 M3:O68 A49:A68">
    <cfRule type="expression" dxfId="45" priority="20">
      <formula>$N3&gt;=20%</formula>
    </cfRule>
  </conditionalFormatting>
  <conditionalFormatting sqref="F3:F11 L3:L11 F13 L13 F16:F18 L16:L18 F20:F21 L20:L21 F23:F28 L23:L28 F30:F68 L30:L68">
    <cfRule type="expression" dxfId="44" priority="21">
      <formula>#REF!&gt;=20%</formula>
    </cfRule>
  </conditionalFormatting>
  <conditionalFormatting sqref="F12">
    <cfRule type="expression" dxfId="43" priority="9">
      <formula>$N12&gt;=20%</formula>
    </cfRule>
  </conditionalFormatting>
  <conditionalFormatting sqref="F14:F15">
    <cfRule type="expression" dxfId="42" priority="8">
      <formula>$N14&gt;=20%</formula>
    </cfRule>
  </conditionalFormatting>
  <conditionalFormatting sqref="F19">
    <cfRule type="expression" dxfId="41" priority="7">
      <formula>$N19&gt;=20%</formula>
    </cfRule>
  </conditionalFormatting>
  <conditionalFormatting sqref="F22">
    <cfRule type="expression" dxfId="40" priority="6">
      <formula>$N22&gt;=20%</formula>
    </cfRule>
  </conditionalFormatting>
  <conditionalFormatting sqref="F29">
    <cfRule type="expression" dxfId="39" priority="5">
      <formula>$N29&gt;=20%</formula>
    </cfRule>
  </conditionalFormatting>
  <conditionalFormatting sqref="F48:F49">
    <cfRule type="expression" dxfId="38" priority="4">
      <formula>$N48&gt;=20%</formula>
    </cfRule>
  </conditionalFormatting>
  <conditionalFormatting sqref="F54:F55">
    <cfRule type="expression" dxfId="37" priority="3">
      <formula>$N54&gt;=20%</formula>
    </cfRule>
  </conditionalFormatting>
  <conditionalFormatting sqref="L12">
    <cfRule type="expression" dxfId="36" priority="17">
      <formula>$N12&gt;=20%</formula>
    </cfRule>
  </conditionalFormatting>
  <conditionalFormatting sqref="L14:L15">
    <cfRule type="expression" dxfId="35" priority="16">
      <formula>$N14&gt;=20%</formula>
    </cfRule>
  </conditionalFormatting>
  <conditionalFormatting sqref="L19">
    <cfRule type="expression" dxfId="34" priority="15">
      <formula>$N19&gt;=20%</formula>
    </cfRule>
  </conditionalFormatting>
  <conditionalFormatting sqref="L22">
    <cfRule type="expression" dxfId="33" priority="14">
      <formula>$N22&gt;=20%</formula>
    </cfRule>
  </conditionalFormatting>
  <conditionalFormatting sqref="L29">
    <cfRule type="expression" dxfId="32" priority="13">
      <formula>$N29&gt;=20%</formula>
    </cfRule>
  </conditionalFormatting>
  <conditionalFormatting sqref="L48:L49">
    <cfRule type="expression" dxfId="31" priority="12">
      <formula>$N48&gt;=20%</formula>
    </cfRule>
  </conditionalFormatting>
  <conditionalFormatting sqref="L54:L55">
    <cfRule type="expression" dxfId="30" priority="11">
      <formula>$N54&gt;=20%</formula>
    </cfRule>
  </conditionalFormatting>
  <pageMargins left="0.25" right="0.25" top="0.75" bottom="0.75" header="0.3" footer="0.3"/>
  <pageSetup paperSize="5" scale="68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86b981-1a0a-438d-8c34-5b4615fe6582">
      <Terms xmlns="http://schemas.microsoft.com/office/infopath/2007/PartnerControls"/>
    </lcf76f155ced4ddcb4097134ff3c332f>
    <TaxCatchAll xmlns="ce2642f3-74a4-4eaf-b9c2-ef954e37032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F7B1D3BA20654F9922F0401FF6B31A" ma:contentTypeVersion="15" ma:contentTypeDescription="Create a new document." ma:contentTypeScope="" ma:versionID="4c8fefa97e907db964f13044ebd6d84b">
  <xsd:schema xmlns:xsd="http://www.w3.org/2001/XMLSchema" xmlns:xs="http://www.w3.org/2001/XMLSchema" xmlns:p="http://schemas.microsoft.com/office/2006/metadata/properties" xmlns:ns2="d286b981-1a0a-438d-8c34-5b4615fe6582" xmlns:ns3="ce2642f3-74a4-4eaf-b9c2-ef954e37032a" targetNamespace="http://schemas.microsoft.com/office/2006/metadata/properties" ma:root="true" ma:fieldsID="c63d44afab1d68372097592920447889" ns2:_="" ns3:_="">
    <xsd:import namespace="d286b981-1a0a-438d-8c34-5b4615fe6582"/>
    <xsd:import namespace="ce2642f3-74a4-4eaf-b9c2-ef954e3703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86b981-1a0a-438d-8c34-5b4615fe65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595fe62-473e-4408-866a-c3e1184175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2642f3-74a4-4eaf-b9c2-ef954e37032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7db15f5-c578-4401-a9ef-76550ce00633}" ma:internalName="TaxCatchAll" ma:showField="CatchAllData" ma:web="ce2642f3-74a4-4eaf-b9c2-ef954e3703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083C50-D640-44C1-9369-539786A179A7}">
  <ds:schemaRefs>
    <ds:schemaRef ds:uri="http://schemas.microsoft.com/office/2006/metadata/properties"/>
    <ds:schemaRef ds:uri="http://purl.org/dc/elements/1.1/"/>
    <ds:schemaRef ds:uri="ce2642f3-74a4-4eaf-b9c2-ef954e37032a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d286b981-1a0a-438d-8c34-5b4615fe658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0D3342D-CABA-4A19-B44E-10E3D5D959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4974CA-2364-4E98-AA83-4EFECD0F14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86b981-1a0a-438d-8c34-5b4615fe6582"/>
    <ds:schemaRef ds:uri="ce2642f3-74a4-4eaf-b9c2-ef954e3703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Vacation Rental by Neighborhood</vt:lpstr>
      <vt:lpstr>'Vacation Rental by Neighborhood'!Print_Titles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Alvarez</dc:creator>
  <cp:keywords/>
  <dc:description/>
  <cp:lastModifiedBy>Patrick Clifford</cp:lastModifiedBy>
  <cp:revision/>
  <cp:lastPrinted>2026-04-14T00:52:20Z</cp:lastPrinted>
  <dcterms:created xsi:type="dcterms:W3CDTF">2022-11-10T20:17:01Z</dcterms:created>
  <dcterms:modified xsi:type="dcterms:W3CDTF">2026-04-14T00:52:43Z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0x0101009FF7B1D3BA20654F9922F0401FF6B31A</vt:lpwstr>
  </property>
  <property fmtid="{D5CDD505-2E9C-101B-9397-08002B2CF9AE}" pid="3" name="Order">
    <vt:r8>10104200</vt:r8>
  </property>
  <property fmtid="{D5CDD505-2E9C-101B-9397-08002B2CF9AE}" pid="4" name="MediaServiceImageTags">
    <vt:lpwstr/>
  </property>
</Properties>
</file>